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slicers/slicer2.xml" ContentType="application/vnd.ms-excel.slicer+xml"/>
  <Override PartName="/xl/charts/chart7.xml" ContentType="application/vnd.openxmlformats-officedocument.drawingml.chart+xml"/>
  <Override PartName="/xl/drawings/drawing4.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Admin\Documents\DATASETS\Healthcare\Billing Anomaly project\"/>
    </mc:Choice>
  </mc:AlternateContent>
  <xr:revisionPtr revIDLastSave="0" documentId="13_ncr:1_{7F1913C4-B657-4F0F-8055-1A96486E7F98}" xr6:coauthVersionLast="47" xr6:coauthVersionMax="47" xr10:uidLastSave="{00000000-0000-0000-0000-000000000000}"/>
  <bookViews>
    <workbookView xWindow="-110" yWindow="-110" windowWidth="19420" windowHeight="10300" activeTab="2" xr2:uid="{5FA772EC-9F99-4670-BE51-0B2FCB7483CB}"/>
  </bookViews>
  <sheets>
    <sheet name="Dataset" sheetId="1" r:id="rId1"/>
    <sheet name="Pivot Table" sheetId="2" state="hidden" r:id="rId2"/>
    <sheet name="Introduction" sheetId="3" r:id="rId3"/>
    <sheet name="Admission" sheetId="4" r:id="rId4"/>
    <sheet name="Age Analysis" sheetId="7" r:id="rId5"/>
    <sheet name="Surgical" sheetId="6" r:id="rId6"/>
  </sheets>
  <definedNames>
    <definedName name="_xlnm._FilterDatabase" localSheetId="1" hidden="1">'Pivot Table'!#REF!</definedName>
    <definedName name="Cleaned_Data" localSheetId="4">Table1[]</definedName>
    <definedName name="Cleaned_Data">Table1[]</definedName>
    <definedName name="Slicer_Age_Demographic">#N/A</definedName>
    <definedName name="Slicer_Diagnosis">#N/A</definedName>
    <definedName name="Slicer_Surgery_Status">#N/A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4" i="1" l="1"/>
  <c r="E3" i="2"/>
  <c r="O2" i="1"/>
  <c r="O3"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G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alcChain>
</file>

<file path=xl/sharedStrings.xml><?xml version="1.0" encoding="utf-8"?>
<sst xmlns="http://schemas.openxmlformats.org/spreadsheetml/2006/main" count="1384" uniqueCount="365">
  <si>
    <t>Patient_ID</t>
  </si>
  <si>
    <t>Gender</t>
  </si>
  <si>
    <t>Age</t>
  </si>
  <si>
    <t>State</t>
  </si>
  <si>
    <t>Admission_Days</t>
  </si>
  <si>
    <t>Diagnosis</t>
  </si>
  <si>
    <t>Lab_Tests_Conducted</t>
  </si>
  <si>
    <t>Medications_Administered</t>
  </si>
  <si>
    <t>Surgery_Cost_NGN</t>
  </si>
  <si>
    <t>Bill_Amount_NGN</t>
  </si>
  <si>
    <t>Male</t>
  </si>
  <si>
    <t>Rivers</t>
  </si>
  <si>
    <t>Hypertension</t>
  </si>
  <si>
    <t>Female</t>
  </si>
  <si>
    <t>Lagos</t>
  </si>
  <si>
    <t>Diabetes</t>
  </si>
  <si>
    <t>Ogun</t>
  </si>
  <si>
    <t>Malaria</t>
  </si>
  <si>
    <t>Appendicitis</t>
  </si>
  <si>
    <t>Kano</t>
  </si>
  <si>
    <t>Abuja</t>
  </si>
  <si>
    <t>Typhoid</t>
  </si>
  <si>
    <t>Oyo</t>
  </si>
  <si>
    <t>Sum of Surgery_Cost_NGN</t>
  </si>
  <si>
    <t>Row Labels</t>
  </si>
  <si>
    <t>Grand Total</t>
  </si>
  <si>
    <t>Sum of Bill_Amount_NGN</t>
  </si>
  <si>
    <t>Anomaly_Detection</t>
  </si>
  <si>
    <t>Age_Demographic</t>
  </si>
  <si>
    <t>Surgery Status</t>
  </si>
  <si>
    <t>Column Labels</t>
  </si>
  <si>
    <t>Toddler (0-4)</t>
  </si>
  <si>
    <t>Adolescent (13-19)</t>
  </si>
  <si>
    <t>Adult (36-59)</t>
  </si>
  <si>
    <t>Young adult (20-35)</t>
  </si>
  <si>
    <t>Elderly (60-90)</t>
  </si>
  <si>
    <t>Child (5-12)</t>
  </si>
  <si>
    <t>Long-term (16-20)</t>
  </si>
  <si>
    <t>Medium-term (11-15)</t>
  </si>
  <si>
    <t>Short-term (6-10)</t>
  </si>
  <si>
    <t>Immediate (1-5)</t>
  </si>
  <si>
    <t>Count of Patient_ID</t>
  </si>
  <si>
    <t>Admission_Duration</t>
  </si>
  <si>
    <t>Revenue Per Diagnosis</t>
  </si>
  <si>
    <t>Surgical Cost Per Diagnosis</t>
  </si>
  <si>
    <t>Revenue Per Location</t>
  </si>
  <si>
    <t>Surgical Cost Per Location</t>
  </si>
  <si>
    <t>Revenue By Gender</t>
  </si>
  <si>
    <t>Revenue By Admission Duration</t>
  </si>
  <si>
    <t>Diagnosis by State</t>
  </si>
  <si>
    <t>Age Demographic by Gender (Count)</t>
  </si>
  <si>
    <t>Age Demographic by Gender (Revenue)</t>
  </si>
  <si>
    <t>Admission Duration by Age Demographic (Count)</t>
  </si>
  <si>
    <t>Admission Duration by Age Demographic (Revenue)</t>
  </si>
  <si>
    <t xml:space="preserve">Patient Count Per Location </t>
  </si>
  <si>
    <t>%Revenue Ratio</t>
  </si>
  <si>
    <t>Percentage ratio of Revenue</t>
  </si>
  <si>
    <t>Yes</t>
  </si>
  <si>
    <t>Average of %Revenue Ratio</t>
  </si>
  <si>
    <t>Sum of Lab_Tests_Conducted</t>
  </si>
  <si>
    <t>Lab investigations by Surgical Status</t>
  </si>
  <si>
    <t>Sum of Medications_Administered</t>
  </si>
  <si>
    <t>No</t>
  </si>
  <si>
    <t>(All)</t>
  </si>
  <si>
    <t>HOSP-ID-1000</t>
  </si>
  <si>
    <t>HOSP-ID-1001</t>
  </si>
  <si>
    <t>HOSP-ID-1002</t>
  </si>
  <si>
    <t>HOSP-ID-1003</t>
  </si>
  <si>
    <t>HOSP-ID-1004</t>
  </si>
  <si>
    <t>HOSP-ID-1005</t>
  </si>
  <si>
    <t>HOSP-ID-1006</t>
  </si>
  <si>
    <t>HOSP-ID-1007</t>
  </si>
  <si>
    <t>HOSP-ID-1008</t>
  </si>
  <si>
    <t>HOSP-ID-1009</t>
  </si>
  <si>
    <t>HOSP-ID-1010</t>
  </si>
  <si>
    <t>HOSP-ID-1011</t>
  </si>
  <si>
    <t>HOSP-ID-1012</t>
  </si>
  <si>
    <t>HOSP-ID-1013</t>
  </si>
  <si>
    <t>HOSP-ID-1014</t>
  </si>
  <si>
    <t>HOSP-ID-1015</t>
  </si>
  <si>
    <t>HOSP-ID-1016</t>
  </si>
  <si>
    <t>HOSP-ID-1017</t>
  </si>
  <si>
    <t>HOSP-ID-1018</t>
  </si>
  <si>
    <t>HOSP-ID-1019</t>
  </si>
  <si>
    <t>HOSP-ID-1020</t>
  </si>
  <si>
    <t>HOSP-ID-1021</t>
  </si>
  <si>
    <t>HOSP-ID-1022</t>
  </si>
  <si>
    <t>HOSP-ID-1023</t>
  </si>
  <si>
    <t>HOSP-ID-1024</t>
  </si>
  <si>
    <t>HOSP-ID-1025</t>
  </si>
  <si>
    <t>HOSP-ID-1026</t>
  </si>
  <si>
    <t>HOSP-ID-1027</t>
  </si>
  <si>
    <t>HOSP-ID-1028</t>
  </si>
  <si>
    <t>HOSP-ID-1029</t>
  </si>
  <si>
    <t>HOSP-ID-1030</t>
  </si>
  <si>
    <t>HOSP-ID-1031</t>
  </si>
  <si>
    <t>HOSP-ID-1032</t>
  </si>
  <si>
    <t>HOSP-ID-1033</t>
  </si>
  <si>
    <t>HOSP-ID-1034</t>
  </si>
  <si>
    <t>HOSP-ID-1035</t>
  </si>
  <si>
    <t>HOSP-ID-1036</t>
  </si>
  <si>
    <t>HOSP-ID-1037</t>
  </si>
  <si>
    <t>HOSP-ID-1038</t>
  </si>
  <si>
    <t>HOSP-ID-1039</t>
  </si>
  <si>
    <t>HOSP-ID-1040</t>
  </si>
  <si>
    <t>HOSP-ID-1041</t>
  </si>
  <si>
    <t>HOSP-ID-1042</t>
  </si>
  <si>
    <t>HOSP-ID-1043</t>
  </si>
  <si>
    <t>HOSP-ID-1044</t>
  </si>
  <si>
    <t>HOSP-ID-1045</t>
  </si>
  <si>
    <t>HOSP-ID-1046</t>
  </si>
  <si>
    <t>HOSP-ID-1047</t>
  </si>
  <si>
    <t>HOSP-ID-1048</t>
  </si>
  <si>
    <t>HOSP-ID-1049</t>
  </si>
  <si>
    <t>HOSP-ID-1050</t>
  </si>
  <si>
    <t>HOSP-ID-1051</t>
  </si>
  <si>
    <t>HOSP-ID-1052</t>
  </si>
  <si>
    <t>HOSP-ID-1053</t>
  </si>
  <si>
    <t>HOSP-ID-1054</t>
  </si>
  <si>
    <t>HOSP-ID-1055</t>
  </si>
  <si>
    <t>HOSP-ID-1056</t>
  </si>
  <si>
    <t>HOSP-ID-1057</t>
  </si>
  <si>
    <t>HOSP-ID-1058</t>
  </si>
  <si>
    <t>HOSP-ID-1059</t>
  </si>
  <si>
    <t>HOSP-ID-1060</t>
  </si>
  <si>
    <t>HOSP-ID-1061</t>
  </si>
  <si>
    <t>HOSP-ID-1062</t>
  </si>
  <si>
    <t>HOSP-ID-1063</t>
  </si>
  <si>
    <t>HOSP-ID-1064</t>
  </si>
  <si>
    <t>HOSP-ID-1065</t>
  </si>
  <si>
    <t>HOSP-ID-1066</t>
  </si>
  <si>
    <t>HOSP-ID-1067</t>
  </si>
  <si>
    <t>HOSP-ID-1068</t>
  </si>
  <si>
    <t>HOSP-ID-1069</t>
  </si>
  <si>
    <t>HOSP-ID-1070</t>
  </si>
  <si>
    <t>HOSP-ID-1071</t>
  </si>
  <si>
    <t>HOSP-ID-1072</t>
  </si>
  <si>
    <t>HOSP-ID-1073</t>
  </si>
  <si>
    <t>HOSP-ID-1074</t>
  </si>
  <si>
    <t>HOSP-ID-1075</t>
  </si>
  <si>
    <t>HOSP-ID-1076</t>
  </si>
  <si>
    <t>HOSP-ID-1077</t>
  </si>
  <si>
    <t>HOSP-ID-1078</t>
  </si>
  <si>
    <t>HOSP-ID-1079</t>
  </si>
  <si>
    <t>HOSP-ID-1080</t>
  </si>
  <si>
    <t>HOSP-ID-1081</t>
  </si>
  <si>
    <t>HOSP-ID-1082</t>
  </si>
  <si>
    <t>HOSP-ID-1083</t>
  </si>
  <si>
    <t>HOSP-ID-1084</t>
  </si>
  <si>
    <t>HOSP-ID-1085</t>
  </si>
  <si>
    <t>HOSP-ID-1086</t>
  </si>
  <si>
    <t>HOSP-ID-1087</t>
  </si>
  <si>
    <t>HOSP-ID-1088</t>
  </si>
  <si>
    <t>HOSP-ID-1089</t>
  </si>
  <si>
    <t>HOSP-ID-1090</t>
  </si>
  <si>
    <t>HOSP-ID-1091</t>
  </si>
  <si>
    <t>HOSP-ID-1092</t>
  </si>
  <si>
    <t>HOSP-ID-1093</t>
  </si>
  <si>
    <t>HOSP-ID-1094</t>
  </si>
  <si>
    <t>HOSP-ID-1095</t>
  </si>
  <si>
    <t>HOSP-ID-1096</t>
  </si>
  <si>
    <t>HOSP-ID-1097</t>
  </si>
  <si>
    <t>HOSP-ID-1098</t>
  </si>
  <si>
    <t>HOSP-ID-1099</t>
  </si>
  <si>
    <t>HOSP-ID-1100</t>
  </si>
  <si>
    <t>HOSP-ID-1101</t>
  </si>
  <si>
    <t>HOSP-ID-1102</t>
  </si>
  <si>
    <t>HOSP-ID-1103</t>
  </si>
  <si>
    <t>HOSP-ID-1104</t>
  </si>
  <si>
    <t>HOSP-ID-1105</t>
  </si>
  <si>
    <t>HOSP-ID-1106</t>
  </si>
  <si>
    <t>HOSP-ID-1107</t>
  </si>
  <si>
    <t>HOSP-ID-1108</t>
  </si>
  <si>
    <t>HOSP-ID-1109</t>
  </si>
  <si>
    <t>HOSP-ID-1110</t>
  </si>
  <si>
    <t>HOSP-ID-1111</t>
  </si>
  <si>
    <t>HOSP-ID-1112</t>
  </si>
  <si>
    <t>HOSP-ID-1113</t>
  </si>
  <si>
    <t>HOSP-ID-1114</t>
  </si>
  <si>
    <t>HOSP-ID-1115</t>
  </si>
  <si>
    <t>HOSP-ID-1116</t>
  </si>
  <si>
    <t>HOSP-ID-1117</t>
  </si>
  <si>
    <t>HOSP-ID-1118</t>
  </si>
  <si>
    <t>HOSP-ID-1119</t>
  </si>
  <si>
    <t>HOSP-ID-1120</t>
  </si>
  <si>
    <t>HOSP-ID-1121</t>
  </si>
  <si>
    <t>HOSP-ID-1122</t>
  </si>
  <si>
    <t>HOSP-ID-1123</t>
  </si>
  <si>
    <t>HOSP-ID-1124</t>
  </si>
  <si>
    <t>HOSP-ID-1125</t>
  </si>
  <si>
    <t>HOSP-ID-1126</t>
  </si>
  <si>
    <t>HOSP-ID-1127</t>
  </si>
  <si>
    <t>HOSP-ID-1128</t>
  </si>
  <si>
    <t>HOSP-ID-1129</t>
  </si>
  <si>
    <t>HOSP-ID-1130</t>
  </si>
  <si>
    <t>HOSP-ID-1131</t>
  </si>
  <si>
    <t>HOSP-ID-1132</t>
  </si>
  <si>
    <t>HOSP-ID-1133</t>
  </si>
  <si>
    <t>HOSP-ID-1134</t>
  </si>
  <si>
    <t>HOSP-ID-1135</t>
  </si>
  <si>
    <t>HOSP-ID-1136</t>
  </si>
  <si>
    <t>HOSP-ID-1137</t>
  </si>
  <si>
    <t>HOSP-ID-1138</t>
  </si>
  <si>
    <t>HOSP-ID-1139</t>
  </si>
  <si>
    <t>HOSP-ID-1140</t>
  </si>
  <si>
    <t>HOSP-ID-1141</t>
  </si>
  <si>
    <t>HOSP-ID-1142</t>
  </si>
  <si>
    <t>HOSP-ID-1143</t>
  </si>
  <si>
    <t>HOSP-ID-1144</t>
  </si>
  <si>
    <t>HOSP-ID-1145</t>
  </si>
  <si>
    <t>HOSP-ID-1146</t>
  </si>
  <si>
    <t>HOSP-ID-1147</t>
  </si>
  <si>
    <t>HOSP-ID-1148</t>
  </si>
  <si>
    <t>HOSP-ID-1149</t>
  </si>
  <si>
    <t>HOSP-ID-1150</t>
  </si>
  <si>
    <t>HOSP-ID-1151</t>
  </si>
  <si>
    <t>HOSP-ID-1152</t>
  </si>
  <si>
    <t>HOSP-ID-1153</t>
  </si>
  <si>
    <t>HOSP-ID-1154</t>
  </si>
  <si>
    <t>HOSP-ID-1155</t>
  </si>
  <si>
    <t>HOSP-ID-1156</t>
  </si>
  <si>
    <t>HOSP-ID-1157</t>
  </si>
  <si>
    <t>HOSP-ID-1158</t>
  </si>
  <si>
    <t>HOSP-ID-1159</t>
  </si>
  <si>
    <t>HOSP-ID-1160</t>
  </si>
  <si>
    <t>HOSP-ID-1161</t>
  </si>
  <si>
    <t>HOSP-ID-1162</t>
  </si>
  <si>
    <t>HOSP-ID-1163</t>
  </si>
  <si>
    <t>HOSP-ID-1164</t>
  </si>
  <si>
    <t>HOSP-ID-1165</t>
  </si>
  <si>
    <t>HOSP-ID-1166</t>
  </si>
  <si>
    <t>HOSP-ID-1167</t>
  </si>
  <si>
    <t>HOSP-ID-1168</t>
  </si>
  <si>
    <t>HOSP-ID-1169</t>
  </si>
  <si>
    <t>HOSP-ID-1170</t>
  </si>
  <si>
    <t>HOSP-ID-1171</t>
  </si>
  <si>
    <t>HOSP-ID-1172</t>
  </si>
  <si>
    <t>HOSP-ID-1173</t>
  </si>
  <si>
    <t>HOSP-ID-1174</t>
  </si>
  <si>
    <t>HOSP-ID-1175</t>
  </si>
  <si>
    <t>HOSP-ID-1176</t>
  </si>
  <si>
    <t>HOSP-ID-1177</t>
  </si>
  <si>
    <t>HOSP-ID-1178</t>
  </si>
  <si>
    <t>HOSP-ID-1179</t>
  </si>
  <si>
    <t>HOSP-ID-1180</t>
  </si>
  <si>
    <t>HOSP-ID-1181</t>
  </si>
  <si>
    <t>HOSP-ID-1182</t>
  </si>
  <si>
    <t>HOSP-ID-1183</t>
  </si>
  <si>
    <t>HOSP-ID-1184</t>
  </si>
  <si>
    <t>HOSP-ID-1185</t>
  </si>
  <si>
    <t>HOSP-ID-1186</t>
  </si>
  <si>
    <t>HOSP-ID-1187</t>
  </si>
  <si>
    <t>HOSP-ID-1188</t>
  </si>
  <si>
    <t>HOSP-ID-1189</t>
  </si>
  <si>
    <t>HOSP-ID-1190</t>
  </si>
  <si>
    <t>HOSP-ID-1191</t>
  </si>
  <si>
    <t>HOSP-ID-1192</t>
  </si>
  <si>
    <t>HOSP-ID-1193</t>
  </si>
  <si>
    <t>HOSP-ID-1194</t>
  </si>
  <si>
    <t>HOSP-ID-1195</t>
  </si>
  <si>
    <t>HOSP-ID-1196</t>
  </si>
  <si>
    <t>HOSP-ID-1197</t>
  </si>
  <si>
    <t>HOSP-ID-1198</t>
  </si>
  <si>
    <t>HOSP-ID-1199</t>
  </si>
  <si>
    <t>HOSP-ID-1200</t>
  </si>
  <si>
    <t>HOSP-ID-1201</t>
  </si>
  <si>
    <t>HOSP-ID-1202</t>
  </si>
  <si>
    <t>HOSP-ID-1203</t>
  </si>
  <si>
    <t>HOSP-ID-1204</t>
  </si>
  <si>
    <t>HOSP-ID-1205</t>
  </si>
  <si>
    <t>HOSP-ID-1206</t>
  </si>
  <si>
    <t>HOSP-ID-1207</t>
  </si>
  <si>
    <t>HOSP-ID-1208</t>
  </si>
  <si>
    <t>HOSP-ID-1209</t>
  </si>
  <si>
    <t>HOSP-ID-1210</t>
  </si>
  <si>
    <t>HOSP-ID-1211</t>
  </si>
  <si>
    <t>HOSP-ID-1212</t>
  </si>
  <si>
    <t>HOSP-ID-1213</t>
  </si>
  <si>
    <t>HOSP-ID-1214</t>
  </si>
  <si>
    <t>HOSP-ID-1215</t>
  </si>
  <si>
    <t>HOSP-ID-1216</t>
  </si>
  <si>
    <t>HOSP-ID-1217</t>
  </si>
  <si>
    <t>HOSP-ID-1218</t>
  </si>
  <si>
    <t>HOSP-ID-1219</t>
  </si>
  <si>
    <t>HOSP-ID-1220</t>
  </si>
  <si>
    <t>HOSP-ID-1221</t>
  </si>
  <si>
    <t>HOSP-ID-1222</t>
  </si>
  <si>
    <t>HOSP-ID-1223</t>
  </si>
  <si>
    <t>HOSP-ID-1224</t>
  </si>
  <si>
    <t>HOSP-ID-1225</t>
  </si>
  <si>
    <t>HOSP-ID-1226</t>
  </si>
  <si>
    <t>HOSP-ID-1227</t>
  </si>
  <si>
    <t>HOSP-ID-1228</t>
  </si>
  <si>
    <t>HOSP-ID-1229</t>
  </si>
  <si>
    <t>HOSP-ID-1230</t>
  </si>
  <si>
    <t>HOSP-ID-1231</t>
  </si>
  <si>
    <t>HOSP-ID-1232</t>
  </si>
  <si>
    <t>HOSP-ID-1233</t>
  </si>
  <si>
    <t>HOSP-ID-1234</t>
  </si>
  <si>
    <t>HOSP-ID-1235</t>
  </si>
  <si>
    <t>HOSP-ID-1236</t>
  </si>
  <si>
    <t>HOSP-ID-1237</t>
  </si>
  <si>
    <t>HOSP-ID-1238</t>
  </si>
  <si>
    <t>HOSP-ID-1239</t>
  </si>
  <si>
    <t>HOSP-ID-1240</t>
  </si>
  <si>
    <t>HOSP-ID-1241</t>
  </si>
  <si>
    <t>HOSP-ID-1242</t>
  </si>
  <si>
    <t>HOSP-ID-1243</t>
  </si>
  <si>
    <t>HOSP-ID-1244</t>
  </si>
  <si>
    <t>HOSP-ID-1245</t>
  </si>
  <si>
    <t>HOSP-ID-1246</t>
  </si>
  <si>
    <t>HOSP-ID-1247</t>
  </si>
  <si>
    <t>HOSP-ID-1248</t>
  </si>
  <si>
    <t>HOSP-ID-1249</t>
  </si>
  <si>
    <t>HOSP-ID-1250</t>
  </si>
  <si>
    <t>HOSP-ID-1251</t>
  </si>
  <si>
    <t>HOSP-ID-1252</t>
  </si>
  <si>
    <t>HOSP-ID-1253</t>
  </si>
  <si>
    <t>HOSP-ID-1254</t>
  </si>
  <si>
    <t>HOSP-ID-1255</t>
  </si>
  <si>
    <t>HOSP-ID-1256</t>
  </si>
  <si>
    <t>HOSP-ID-1257</t>
  </si>
  <si>
    <t>HOSP-ID-1258</t>
  </si>
  <si>
    <t>HOSP-ID-1259</t>
  </si>
  <si>
    <t>HOSP-ID-1260</t>
  </si>
  <si>
    <t>HOSP-ID-1261</t>
  </si>
  <si>
    <t>HOSP-ID-1262</t>
  </si>
  <si>
    <t>HOSP-ID-1263</t>
  </si>
  <si>
    <t>HOSP-ID-1264</t>
  </si>
  <si>
    <t>HOSP-ID-1265</t>
  </si>
  <si>
    <t>HOSP-ID-1266</t>
  </si>
  <si>
    <t>HOSP-ID-1267</t>
  </si>
  <si>
    <t>HOSP-ID-1268</t>
  </si>
  <si>
    <t>HOSP-ID-1269</t>
  </si>
  <si>
    <t>HOSP-ID-1270</t>
  </si>
  <si>
    <t>HOSP-ID-1271</t>
  </si>
  <si>
    <t>HOSP-ID-1272</t>
  </si>
  <si>
    <t>HOSP-ID-1273</t>
  </si>
  <si>
    <t>HOSP-ID-1274</t>
  </si>
  <si>
    <t>HOSP-ID-1275</t>
  </si>
  <si>
    <t>HOSP-ID-1276</t>
  </si>
  <si>
    <t>HOSP-ID-1277</t>
  </si>
  <si>
    <t>HOSP-ID-1278</t>
  </si>
  <si>
    <t>HOSP-ID-1279</t>
  </si>
  <si>
    <t>HOSP-ID-1280</t>
  </si>
  <si>
    <t>HOSP-ID-1281</t>
  </si>
  <si>
    <t>HOSP-ID-1282</t>
  </si>
  <si>
    <t>HOSP-ID-1283</t>
  </si>
  <si>
    <t>HOSP-ID-1284</t>
  </si>
  <si>
    <t>HOSP-ID-1285</t>
  </si>
  <si>
    <t>HOSP-ID-1286</t>
  </si>
  <si>
    <t>HOSP-ID-1287</t>
  </si>
  <si>
    <t>HOSP-ID-1288</t>
  </si>
  <si>
    <t>HOSP-ID-1289</t>
  </si>
  <si>
    <t>HOSP-ID-1290</t>
  </si>
  <si>
    <t>HOSP-ID-1291</t>
  </si>
  <si>
    <t>HOSP-ID-1292</t>
  </si>
  <si>
    <t>HOSP-ID-1293</t>
  </si>
  <si>
    <t>HOSP-ID-1294</t>
  </si>
  <si>
    <t>HOSP-ID-1295</t>
  </si>
  <si>
    <t>HOSP-ID-1296</t>
  </si>
  <si>
    <t>HOSP-ID-1297</t>
  </si>
  <si>
    <t>HOSP-ID-1298</t>
  </si>
  <si>
    <t>HOSP-ID-1299</t>
  </si>
  <si>
    <t>Age Demographic by Diagnosis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</si>
</sst>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quot;M&quot;"/>
    <numFmt numFmtId="166" formatCode="[$₦-46A]#,##0"/>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7" tint="0.79998168889431442"/>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59999389629810485"/>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43"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164" fontId="0" fillId="0" borderId="0" xfId="1" applyNumberFormat="1" applyFont="1"/>
    <xf numFmtId="0" fontId="16" fillId="33" borderId="0" xfId="0" applyFont="1" applyFill="1"/>
    <xf numFmtId="164" fontId="16" fillId="33" borderId="0" xfId="1" applyNumberFormat="1" applyFont="1" applyFill="1"/>
    <xf numFmtId="164" fontId="0" fillId="0" borderId="0" xfId="0" applyNumberFormat="1"/>
    <xf numFmtId="0" fontId="0" fillId="0" borderId="0" xfId="0" pivotButton="1"/>
    <xf numFmtId="0" fontId="0" fillId="0" borderId="0" xfId="0" applyAlignment="1">
      <alignment horizontal="left"/>
    </xf>
    <xf numFmtId="0" fontId="18" fillId="34" borderId="0" xfId="0" applyFont="1" applyFill="1"/>
    <xf numFmtId="0" fontId="16" fillId="0" borderId="0" xfId="0" applyFont="1"/>
    <xf numFmtId="165" fontId="0" fillId="0" borderId="0" xfId="0" applyNumberFormat="1"/>
    <xf numFmtId="166" fontId="0" fillId="0" borderId="0" xfId="0" applyNumberFormat="1"/>
    <xf numFmtId="43" fontId="0" fillId="0" borderId="0" xfId="1" applyFont="1"/>
    <xf numFmtId="43" fontId="0" fillId="0" borderId="0" xfId="0" applyNumberFormat="1"/>
    <xf numFmtId="0" fontId="16" fillId="0" borderId="0" xfId="0" applyFont="1" applyAlignment="1">
      <alignment horizontal="center"/>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omma" xfId="1" builtinId="3"/>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22">
    <dxf>
      <numFmt numFmtId="165" formatCode="#.##,,&quot;M&quot;"/>
    </dxf>
    <dxf>
      <numFmt numFmtId="165" formatCode="#.##,,&quot;M&quot;"/>
    </dxf>
    <dxf>
      <numFmt numFmtId="165" formatCode="#.##,,&quot;M&quot;"/>
    </dxf>
    <dxf>
      <numFmt numFmtId="35" formatCode="_(* #,##0.00_);_(* \(#,##0.00\);_(* &quot;-&quot;??_);_(@_)"/>
    </dxf>
    <dxf>
      <numFmt numFmtId="165" formatCode="#.##,,&quot;M&quot;"/>
    </dxf>
    <dxf>
      <numFmt numFmtId="166" formatCode="[$₦-46A]#,##0"/>
    </dxf>
    <dxf>
      <numFmt numFmtId="165" formatCode="#.##,,&quot;M&quot;"/>
    </dxf>
    <dxf>
      <numFmt numFmtId="165" formatCode="#.##,,&quot;M&quot;"/>
    </dxf>
    <dxf>
      <numFmt numFmtId="165" formatCode="#.##,,&quot;M&quot;"/>
    </dxf>
    <dxf>
      <numFmt numFmtId="165" formatCode="#.##,,&quot;M&quot;"/>
    </dxf>
    <dxf>
      <numFmt numFmtId="165" formatCode="#.##,,&quot;M&quot;"/>
    </dxf>
    <dxf>
      <numFmt numFmtId="166" formatCode="[$₦-46A]#,##0"/>
    </dxf>
    <dxf>
      <numFmt numFmtId="165" formatCode="#.##,,&quot;M&quot;"/>
    </dxf>
    <dxf>
      <numFmt numFmtId="165" formatCode="#.##,,&quot;M&quot;"/>
    </dxf>
    <dxf>
      <numFmt numFmtId="164" formatCode="_(* #,##0_);_(* \(#,##0\);_(* &quot;-&quot;??_);_(@_)"/>
    </dxf>
    <dxf>
      <numFmt numFmtId="0" formatCode="General"/>
    </dxf>
    <dxf>
      <font>
        <b val="0"/>
        <i val="0"/>
        <strike val="0"/>
        <condense val="0"/>
        <extend val="0"/>
        <outline val="0"/>
        <shadow val="0"/>
        <u val="none"/>
        <vertAlign val="baseline"/>
        <sz val="11"/>
        <color theme="1"/>
        <name val="Aptos Narrow"/>
        <family val="2"/>
        <scheme val="minor"/>
      </font>
      <numFmt numFmtId="164" formatCode="_(* #,##0_);_(* \(#,##0\);_(* &quot;-&quot;??_);_(@_)"/>
    </dxf>
    <dxf>
      <font>
        <b val="0"/>
        <i val="0"/>
        <strike val="0"/>
        <condense val="0"/>
        <extend val="0"/>
        <outline val="0"/>
        <shadow val="0"/>
        <u val="none"/>
        <vertAlign val="baseline"/>
        <sz val="11"/>
        <color theme="1"/>
        <name val="Aptos Narrow"/>
        <family val="2"/>
        <scheme val="minor"/>
      </font>
      <numFmt numFmtId="0" formatCode="General"/>
    </dxf>
    <dxf>
      <font>
        <b val="0"/>
        <i val="0"/>
        <strike val="0"/>
        <condense val="0"/>
        <extend val="0"/>
        <outline val="0"/>
        <shadow val="0"/>
        <u val="none"/>
        <vertAlign val="baseline"/>
        <sz val="11"/>
        <color theme="1"/>
        <name val="Aptos Narrow"/>
        <family val="2"/>
        <scheme val="minor"/>
      </font>
      <numFmt numFmtId="164" formatCode="_(* #,##0_);_(* \(#,##0\);_(* &quot;-&quot;??_);_(@_)"/>
    </dxf>
    <dxf>
      <numFmt numFmtId="0" formatCode="General"/>
    </dxf>
    <dxf>
      <numFmt numFmtId="0" formatCode="General"/>
    </dxf>
    <dxf>
      <font>
        <b/>
      </font>
      <fill>
        <patternFill patternType="solid">
          <fgColor indexed="64"/>
          <bgColor theme="9" tint="0.599993896298104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Data.xlsx]Pivot Table!PivotTable14</c:name>
    <c:fmtId val="2"/>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b="1"/>
              <a:t>Revenue by Diagnosis</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Table'!$B$12</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Table'!$A$13:$A$18</c:f>
              <c:strCache>
                <c:ptCount val="5"/>
                <c:pt idx="0">
                  <c:v>Diabetes</c:v>
                </c:pt>
                <c:pt idx="1">
                  <c:v>Typhoid</c:v>
                </c:pt>
                <c:pt idx="2">
                  <c:v>Malaria</c:v>
                </c:pt>
                <c:pt idx="3">
                  <c:v>Hypertension</c:v>
                </c:pt>
                <c:pt idx="4">
                  <c:v>Appendicitis</c:v>
                </c:pt>
              </c:strCache>
            </c:strRef>
          </c:cat>
          <c:val>
            <c:numRef>
              <c:f>'Pivot Table'!$B$13:$B$18</c:f>
              <c:numCache>
                <c:formatCode>#.##,,"M"</c:formatCode>
                <c:ptCount val="5"/>
                <c:pt idx="0">
                  <c:v>17405974</c:v>
                </c:pt>
                <c:pt idx="1">
                  <c:v>19140334</c:v>
                </c:pt>
                <c:pt idx="2">
                  <c:v>22626091</c:v>
                </c:pt>
                <c:pt idx="3">
                  <c:v>22745784</c:v>
                </c:pt>
                <c:pt idx="4">
                  <c:v>23075149</c:v>
                </c:pt>
              </c:numCache>
            </c:numRef>
          </c:val>
          <c:extLst>
            <c:ext xmlns:c16="http://schemas.microsoft.com/office/drawing/2014/chart" uri="{C3380CC4-5D6E-409C-BE32-E72D297353CC}">
              <c16:uniqueId val="{00000000-BA45-4B55-94DD-D95744BF2081}"/>
            </c:ext>
          </c:extLst>
        </c:ser>
        <c:dLbls>
          <c:dLblPos val="inEnd"/>
          <c:showLegendKey val="0"/>
          <c:showVal val="1"/>
          <c:showCatName val="0"/>
          <c:showSerName val="0"/>
          <c:showPercent val="0"/>
          <c:showBubbleSize val="0"/>
        </c:dLbls>
        <c:gapWidth val="41"/>
        <c:axId val="659141727"/>
        <c:axId val="659142207"/>
      </c:barChart>
      <c:catAx>
        <c:axId val="6591417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dk1">
                    <a:lumMod val="65000"/>
                    <a:lumOff val="35000"/>
                  </a:schemeClr>
                </a:solidFill>
                <a:effectLst/>
                <a:latin typeface="+mn-lt"/>
                <a:ea typeface="+mn-ea"/>
                <a:cs typeface="+mn-cs"/>
              </a:defRPr>
            </a:pPr>
            <a:endParaRPr lang="en-US"/>
          </a:p>
        </c:txPr>
        <c:crossAx val="659142207"/>
        <c:crosses val="autoZero"/>
        <c:auto val="1"/>
        <c:lblAlgn val="ctr"/>
        <c:lblOffset val="100"/>
        <c:noMultiLvlLbl val="0"/>
      </c:catAx>
      <c:valAx>
        <c:axId val="659142207"/>
        <c:scaling>
          <c:orientation val="minMax"/>
        </c:scaling>
        <c:delete val="1"/>
        <c:axPos val="l"/>
        <c:numFmt formatCode="#.##,,&quot;M&quot;" sourceLinked="1"/>
        <c:majorTickMark val="none"/>
        <c:minorTickMark val="none"/>
        <c:tickLblPos val="nextTo"/>
        <c:crossAx val="659141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Data.xlsx]Pivot Table!PivotTable16</c:name>
    <c:fmtId val="2"/>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b="1"/>
              <a:t>Revenue By State</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Table'!$B$21</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Table'!$A$22:$A$28</c:f>
              <c:strCache>
                <c:ptCount val="6"/>
                <c:pt idx="0">
                  <c:v>Kano</c:v>
                </c:pt>
                <c:pt idx="1">
                  <c:v>Abuja</c:v>
                </c:pt>
                <c:pt idx="2">
                  <c:v>Oyo</c:v>
                </c:pt>
                <c:pt idx="3">
                  <c:v>Ogun</c:v>
                </c:pt>
                <c:pt idx="4">
                  <c:v>Lagos</c:v>
                </c:pt>
                <c:pt idx="5">
                  <c:v>Rivers</c:v>
                </c:pt>
              </c:strCache>
            </c:strRef>
          </c:cat>
          <c:val>
            <c:numRef>
              <c:f>'Pivot Table'!$B$22:$B$28</c:f>
              <c:numCache>
                <c:formatCode>#.##,,"M"</c:formatCode>
                <c:ptCount val="6"/>
                <c:pt idx="0">
                  <c:v>15447623</c:v>
                </c:pt>
                <c:pt idx="1">
                  <c:v>15683165</c:v>
                </c:pt>
                <c:pt idx="2">
                  <c:v>16072641</c:v>
                </c:pt>
                <c:pt idx="3">
                  <c:v>17356984</c:v>
                </c:pt>
                <c:pt idx="4">
                  <c:v>18414863</c:v>
                </c:pt>
                <c:pt idx="5">
                  <c:v>22018056</c:v>
                </c:pt>
              </c:numCache>
            </c:numRef>
          </c:val>
          <c:extLst>
            <c:ext xmlns:c16="http://schemas.microsoft.com/office/drawing/2014/chart" uri="{C3380CC4-5D6E-409C-BE32-E72D297353CC}">
              <c16:uniqueId val="{00000000-79AF-44D0-AF0D-3286BFD87504}"/>
            </c:ext>
          </c:extLst>
        </c:ser>
        <c:dLbls>
          <c:dLblPos val="inEnd"/>
          <c:showLegendKey val="0"/>
          <c:showVal val="1"/>
          <c:showCatName val="0"/>
          <c:showSerName val="0"/>
          <c:showPercent val="0"/>
          <c:showBubbleSize val="0"/>
        </c:dLbls>
        <c:gapWidth val="41"/>
        <c:axId val="312680495"/>
        <c:axId val="312682415"/>
      </c:barChart>
      <c:catAx>
        <c:axId val="3126804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dk1">
                    <a:lumMod val="65000"/>
                    <a:lumOff val="35000"/>
                  </a:schemeClr>
                </a:solidFill>
                <a:effectLst/>
                <a:latin typeface="+mn-lt"/>
                <a:ea typeface="+mn-ea"/>
                <a:cs typeface="+mn-cs"/>
              </a:defRPr>
            </a:pPr>
            <a:endParaRPr lang="en-US"/>
          </a:p>
        </c:txPr>
        <c:crossAx val="312682415"/>
        <c:crosses val="autoZero"/>
        <c:auto val="1"/>
        <c:lblAlgn val="ctr"/>
        <c:lblOffset val="100"/>
        <c:noMultiLvlLbl val="0"/>
      </c:catAx>
      <c:valAx>
        <c:axId val="312682415"/>
        <c:scaling>
          <c:orientation val="minMax"/>
        </c:scaling>
        <c:delete val="1"/>
        <c:axPos val="l"/>
        <c:numFmt formatCode="#.##,,&quot;M&quot;" sourceLinked="1"/>
        <c:majorTickMark val="none"/>
        <c:minorTickMark val="none"/>
        <c:tickLblPos val="nextTo"/>
        <c:crossAx val="312680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[Hospital Data.xlsx]Pivot Table!PivotTable21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t>Revenue by Gender</a:t>
            </a:r>
          </a:p>
        </c:rich>
      </c:tx>
      <c:layout>
        <c:manualLayout>
          <c:xMode val="edge"/>
          <c:yMode val="edge"/>
          <c:x val="0.25532548237773361"/>
          <c:y val="0.1091288737527872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hade val="76000"/>
            </a:schemeClr>
          </a:solidFill>
          <a:ln w="19050">
            <a:noFill/>
          </a:ln>
          <a:effectLst/>
        </c:spPr>
        <c:dLbl>
          <c:idx val="0"/>
          <c:layout>
            <c:manualLayout>
              <c:x val="0.15051964459152184"/>
              <c:y val="-0.1078308021508452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6679225853214416"/>
                  <c:h val="0.20516205916520558"/>
                </c:manualLayout>
              </c15:layout>
            </c:ext>
          </c:extLst>
        </c:dLbl>
      </c:pivotFmt>
      <c:pivotFmt>
        <c:idx val="9"/>
        <c:spPr>
          <a:solidFill>
            <a:schemeClr val="accent1">
              <a:tint val="77000"/>
            </a:schemeClr>
          </a:solidFill>
          <a:ln w="19050">
            <a:noFill/>
          </a:ln>
          <a:effectLst/>
        </c:spPr>
        <c:dLbl>
          <c:idx val="0"/>
          <c:layout>
            <c:manualLayout>
              <c:x val="-0.12819961920542822"/>
              <c:y val="-6.931181784565133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487392381343289"/>
                  <c:h val="0.17595001731791513"/>
                </c:manualLayout>
              </c15:layout>
            </c:ext>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hade val="76000"/>
            </a:schemeClr>
          </a:solidFill>
          <a:ln w="19050">
            <a:solidFill>
              <a:schemeClr val="lt1"/>
            </a:solidFill>
          </a:ln>
          <a:effectLst/>
        </c:spPr>
        <c:dLbl>
          <c:idx val="0"/>
          <c:layout>
            <c:manualLayout>
              <c:x val="0.16605030893389078"/>
              <c:y val="-1.020773408665155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8714182378540511"/>
                  <c:h val="0.21922033273462246"/>
                </c:manualLayout>
              </c15:layout>
            </c:ext>
          </c:extLst>
        </c:dLbl>
      </c:pivotFmt>
      <c:pivotFmt>
        <c:idx val="13"/>
        <c:spPr>
          <a:solidFill>
            <a:schemeClr val="accent1">
              <a:tint val="77000"/>
            </a:schemeClr>
          </a:solidFill>
          <a:ln w="19050">
            <a:solidFill>
              <a:schemeClr val="lt1"/>
            </a:solidFill>
          </a:ln>
          <a:effectLst/>
        </c:spPr>
        <c:dLbl>
          <c:idx val="0"/>
          <c:layout>
            <c:manualLayout>
              <c:x val="-0.14500151741491429"/>
              <c:y val="1.020773408665159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5748520152153991"/>
                  <c:h val="0.23283064485015795"/>
                </c:manualLayout>
              </c15:layout>
            </c:ext>
          </c:extLst>
        </c:dLbl>
      </c:pivotFmt>
    </c:pivotFmts>
    <c:plotArea>
      <c:layout/>
      <c:doughnutChart>
        <c:varyColors val="1"/>
        <c:ser>
          <c:idx val="0"/>
          <c:order val="0"/>
          <c:tx>
            <c:strRef>
              <c:f>'Pivot Table'!$B$6</c:f>
              <c:strCache>
                <c:ptCount val="1"/>
                <c:pt idx="0">
                  <c:v>Total</c:v>
                </c:pt>
              </c:strCache>
            </c:strRef>
          </c:tx>
          <c:dPt>
            <c:idx val="0"/>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7-5822-4487-922F-85F1957AC007}"/>
              </c:ext>
            </c:extLst>
          </c:dPt>
          <c:dPt>
            <c:idx val="1"/>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8-5822-4487-922F-85F1957AC007}"/>
              </c:ext>
            </c:extLst>
          </c:dPt>
          <c:dLbls>
            <c:dLbl>
              <c:idx val="0"/>
              <c:layout>
                <c:manualLayout>
                  <c:x val="0.16605030893389078"/>
                  <c:y val="-1.020773408665155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8714182378540511"/>
                      <c:h val="0.21922033273462246"/>
                    </c:manualLayout>
                  </c15:layout>
                </c:ext>
                <c:ext xmlns:c16="http://schemas.microsoft.com/office/drawing/2014/chart" uri="{C3380CC4-5D6E-409C-BE32-E72D297353CC}">
                  <c16:uniqueId val="{00000007-5822-4487-922F-85F1957AC007}"/>
                </c:ext>
              </c:extLst>
            </c:dLbl>
            <c:dLbl>
              <c:idx val="1"/>
              <c:layout>
                <c:manualLayout>
                  <c:x val="-0.14500151741491429"/>
                  <c:y val="1.020773408665159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5748520152153991"/>
                      <c:h val="0.23283064485015795"/>
                    </c:manualLayout>
                  </c15:layout>
                </c:ext>
                <c:ext xmlns:c16="http://schemas.microsoft.com/office/drawing/2014/chart" uri="{C3380CC4-5D6E-409C-BE32-E72D297353CC}">
                  <c16:uniqueId val="{00000008-5822-4487-922F-85F1957AC007}"/>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Table'!$A$7:$A$9</c:f>
              <c:strCache>
                <c:ptCount val="2"/>
                <c:pt idx="0">
                  <c:v>Female</c:v>
                </c:pt>
                <c:pt idx="1">
                  <c:v>Male</c:v>
                </c:pt>
              </c:strCache>
            </c:strRef>
          </c:cat>
          <c:val>
            <c:numRef>
              <c:f>'Pivot Table'!$B$7:$B$9</c:f>
              <c:numCache>
                <c:formatCode>#.##,,"M"</c:formatCode>
                <c:ptCount val="2"/>
                <c:pt idx="0">
                  <c:v>51175423</c:v>
                </c:pt>
                <c:pt idx="1">
                  <c:v>53817909</c:v>
                </c:pt>
              </c:numCache>
            </c:numRef>
          </c:val>
          <c:extLst>
            <c:ext xmlns:c16="http://schemas.microsoft.com/office/drawing/2014/chart" uri="{C3380CC4-5D6E-409C-BE32-E72D297353CC}">
              <c16:uniqueId val="{00000005-5822-4487-922F-85F1957AC007}"/>
            </c:ext>
          </c:extLst>
        </c:ser>
        <c:dLbls>
          <c:showLegendKey val="0"/>
          <c:showVal val="0"/>
          <c:showCatName val="0"/>
          <c:showSerName val="0"/>
          <c:showPercent val="0"/>
          <c:showBubbleSize val="0"/>
          <c:showLeaderLines val="0"/>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Data.xlsx]Pivot Table!PivotTable25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State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pivotFmt>
      <c:pivotFmt>
        <c:idx val="10"/>
        <c:spPr>
          <a:solidFill>
            <a:schemeClr val="accent1"/>
          </a:solidFill>
          <a:ln w="28575" cap="rnd">
            <a:solidFill>
              <a:schemeClr val="accent1"/>
            </a:solidFill>
            <a:round/>
          </a:ln>
          <a:effectLst/>
        </c:spPr>
        <c:marker>
          <c:symbol val="none"/>
        </c:marker>
      </c:pivotFmt>
      <c:pivotFmt>
        <c:idx val="11"/>
        <c:spPr>
          <a:solidFill>
            <a:schemeClr val="accent1"/>
          </a:solidFill>
          <a:ln w="28575" cap="rnd">
            <a:solidFill>
              <a:schemeClr val="accent1"/>
            </a:solidFill>
            <a:round/>
          </a:ln>
          <a:effectLst/>
        </c:spPr>
        <c:marker>
          <c:symbol val="none"/>
        </c:marker>
      </c:pivotFmt>
      <c:pivotFmt>
        <c:idx val="12"/>
        <c:spPr>
          <a:solidFill>
            <a:schemeClr val="accent1"/>
          </a:solidFill>
          <a:ln w="28575" cap="rnd">
            <a:solidFill>
              <a:schemeClr val="accent1"/>
            </a:solidFill>
            <a:round/>
          </a:ln>
          <a:effectLst/>
        </c:spPr>
        <c:marker>
          <c:symbol val="none"/>
        </c:marker>
      </c:pivotFmt>
      <c:pivotFmt>
        <c:idx val="13"/>
        <c:spPr>
          <a:solidFill>
            <a:schemeClr val="accent1"/>
          </a:solidFill>
          <a:ln w="28575" cap="rnd">
            <a:solidFill>
              <a:schemeClr val="accent1"/>
            </a:solidFill>
            <a:round/>
          </a:ln>
          <a:effectLst/>
        </c:spPr>
        <c:marker>
          <c:symbol val="none"/>
        </c:marker>
      </c:pivotFmt>
      <c:pivotFmt>
        <c:idx val="14"/>
        <c:spPr>
          <a:solidFill>
            <a:schemeClr val="accent1"/>
          </a:solidFill>
          <a:ln w="28575" cap="rnd">
            <a:solidFill>
              <a:schemeClr val="accent1"/>
            </a:solidFill>
            <a:round/>
          </a:ln>
          <a:effectLst/>
        </c:spPr>
        <c:marker>
          <c:symbol val="none"/>
        </c:marker>
        <c:dLbl>
          <c:idx val="0"/>
          <c:layout>
            <c:manualLayout>
              <c:x val="1.3532885978509351E-2"/>
              <c:y val="-1.215817692445033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dLbl>
          <c:idx val="0"/>
          <c:layout>
            <c:manualLayout>
              <c:x val="-3.0562884096639358E-2"/>
              <c:y val="-1.9099410174120448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none"/>
        </c:marker>
        <c:dLbl>
          <c:idx val="0"/>
          <c:layout>
            <c:manualLayout>
              <c:x val="0"/>
              <c:y val="6.3272719120193568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1979605031051603E-2"/>
                  <c:h val="0.13173928152249773"/>
                </c:manualLayout>
              </c15:layout>
            </c:ext>
          </c:extLst>
        </c:dLbl>
      </c:pivotFmt>
      <c:pivotFmt>
        <c:idx val="17"/>
        <c:spPr>
          <a:ln w="28575" cap="rnd">
            <a:solidFill>
              <a:schemeClr val="accent1"/>
            </a:solidFill>
            <a:round/>
          </a:ln>
          <a:effectLst/>
        </c:spPr>
        <c:marker>
          <c:symbol val="none"/>
        </c:marker>
        <c:dLbl>
          <c:idx val="0"/>
          <c:layout>
            <c:manualLayout>
              <c:x val="2.1438181231969521E-2"/>
              <c:y val="-4.218181274679582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none"/>
        </c:marker>
      </c:pivotFmt>
      <c:pivotFmt>
        <c:idx val="19"/>
        <c:spPr>
          <a:ln w="28575" cap="rnd">
            <a:solidFill>
              <a:schemeClr val="accent1"/>
            </a:solidFill>
            <a:round/>
          </a:ln>
          <a:effectLst/>
        </c:spPr>
        <c:marker>
          <c:symbol val="none"/>
        </c:marker>
      </c:pivotFmt>
      <c:pivotFmt>
        <c:idx val="20"/>
        <c:spPr>
          <a:ln w="28575" cap="rnd">
            <a:solidFill>
              <a:schemeClr val="accent1"/>
            </a:solidFill>
            <a:round/>
          </a:ln>
          <a:effectLst/>
        </c:spPr>
        <c:marker>
          <c:symbol val="none"/>
        </c:marker>
      </c:pivotFmt>
      <c:pivotFmt>
        <c:idx val="21"/>
        <c:spPr>
          <a:ln w="28575" cap="rnd">
            <a:solidFill>
              <a:schemeClr val="accent1"/>
            </a:solidFill>
            <a:round/>
          </a:ln>
          <a:effectLst/>
        </c:spPr>
        <c:marker>
          <c:symbol val="none"/>
        </c:marker>
      </c:pivotFmt>
    </c:pivotFmts>
    <c:plotArea>
      <c:layout/>
      <c:radarChart>
        <c:radarStyle val="marker"/>
        <c:varyColors val="0"/>
        <c:ser>
          <c:idx val="0"/>
          <c:order val="0"/>
          <c:tx>
            <c:strRef>
              <c:f>'Pivot Table'!$H$21</c:f>
              <c:strCache>
                <c:ptCount val="1"/>
                <c:pt idx="0">
                  <c:v>Total</c:v>
                </c:pt>
              </c:strCache>
            </c:strRef>
          </c:tx>
          <c:spPr>
            <a:ln w="28575" cap="rnd">
              <a:solidFill>
                <a:schemeClr val="accent1"/>
              </a:solidFill>
              <a:round/>
            </a:ln>
            <a:effectLst/>
          </c:spPr>
          <c:marker>
            <c:symbol val="none"/>
          </c:marker>
          <c:dPt>
            <c:idx val="0"/>
            <c:marker>
              <c:symbol val="none"/>
            </c:marker>
            <c:bubble3D val="0"/>
            <c:extLst>
              <c:ext xmlns:c16="http://schemas.microsoft.com/office/drawing/2014/chart" uri="{C3380CC4-5D6E-409C-BE32-E72D297353CC}">
                <c16:uniqueId val="{00000001-AD36-4DC0-BC81-39110EA46905}"/>
              </c:ext>
            </c:extLst>
          </c:dPt>
          <c:dPt>
            <c:idx val="1"/>
            <c:marker>
              <c:symbol val="none"/>
            </c:marker>
            <c:bubble3D val="0"/>
            <c:extLst>
              <c:ext xmlns:c16="http://schemas.microsoft.com/office/drawing/2014/chart" uri="{C3380CC4-5D6E-409C-BE32-E72D297353CC}">
                <c16:uniqueId val="{00000003-AD36-4DC0-BC81-39110EA46905}"/>
              </c:ext>
            </c:extLst>
          </c:dPt>
          <c:dPt>
            <c:idx val="2"/>
            <c:marker>
              <c:symbol val="none"/>
            </c:marker>
            <c:bubble3D val="0"/>
            <c:extLst>
              <c:ext xmlns:c16="http://schemas.microsoft.com/office/drawing/2014/chart" uri="{C3380CC4-5D6E-409C-BE32-E72D297353CC}">
                <c16:uniqueId val="{00000005-AD36-4DC0-BC81-39110EA46905}"/>
              </c:ext>
            </c:extLst>
          </c:dPt>
          <c:dPt>
            <c:idx val="3"/>
            <c:marker>
              <c:symbol val="none"/>
            </c:marker>
            <c:bubble3D val="0"/>
            <c:extLst>
              <c:ext xmlns:c16="http://schemas.microsoft.com/office/drawing/2014/chart" uri="{C3380CC4-5D6E-409C-BE32-E72D297353CC}">
                <c16:uniqueId val="{00000007-AD36-4DC0-BC81-39110EA46905}"/>
              </c:ext>
            </c:extLst>
          </c:dPt>
          <c:dPt>
            <c:idx val="4"/>
            <c:marker>
              <c:symbol val="none"/>
            </c:marker>
            <c:bubble3D val="0"/>
            <c:extLst>
              <c:ext xmlns:c16="http://schemas.microsoft.com/office/drawing/2014/chart" uri="{C3380CC4-5D6E-409C-BE32-E72D297353CC}">
                <c16:uniqueId val="{00000009-AD36-4DC0-BC81-39110EA46905}"/>
              </c:ext>
            </c:extLst>
          </c:dPt>
          <c:dPt>
            <c:idx val="5"/>
            <c:marker>
              <c:symbol val="none"/>
            </c:marker>
            <c:bubble3D val="0"/>
            <c:extLst>
              <c:ext xmlns:c16="http://schemas.microsoft.com/office/drawing/2014/chart" uri="{C3380CC4-5D6E-409C-BE32-E72D297353CC}">
                <c16:uniqueId val="{0000000B-AD36-4DC0-BC81-39110EA46905}"/>
              </c:ext>
            </c:extLst>
          </c:dPt>
          <c:dLbls>
            <c:dLbl>
              <c:idx val="4"/>
              <c:layout>
                <c:manualLayout>
                  <c:x val="0"/>
                  <c:y val="6.3272719120193568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1979605031051603E-2"/>
                      <c:h val="0.13173928152249773"/>
                    </c:manualLayout>
                  </c15:layout>
                </c:ext>
                <c:ext xmlns:c16="http://schemas.microsoft.com/office/drawing/2014/chart" uri="{C3380CC4-5D6E-409C-BE32-E72D297353CC}">
                  <c16:uniqueId val="{00000009-AD36-4DC0-BC81-39110EA46905}"/>
                </c:ext>
              </c:extLst>
            </c:dLbl>
            <c:dLbl>
              <c:idx val="5"/>
              <c:layout>
                <c:manualLayout>
                  <c:x val="2.1438181231969521E-2"/>
                  <c:y val="-4.218181274679582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D36-4DC0-BC81-39110EA46905}"/>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Table'!$G$22:$G$28</c:f>
              <c:strCache>
                <c:ptCount val="6"/>
                <c:pt idx="0">
                  <c:v>Kano</c:v>
                </c:pt>
                <c:pt idx="1">
                  <c:v>Ogun</c:v>
                </c:pt>
                <c:pt idx="2">
                  <c:v>Abuja</c:v>
                </c:pt>
                <c:pt idx="3">
                  <c:v>Oyo</c:v>
                </c:pt>
                <c:pt idx="4">
                  <c:v>Lagos</c:v>
                </c:pt>
                <c:pt idx="5">
                  <c:v>Rivers</c:v>
                </c:pt>
              </c:strCache>
            </c:strRef>
          </c:cat>
          <c:val>
            <c:numRef>
              <c:f>'Pivot Table'!$H$22:$H$28</c:f>
              <c:numCache>
                <c:formatCode>General</c:formatCode>
                <c:ptCount val="6"/>
                <c:pt idx="0">
                  <c:v>45</c:v>
                </c:pt>
                <c:pt idx="1">
                  <c:v>45</c:v>
                </c:pt>
                <c:pt idx="2">
                  <c:v>47</c:v>
                </c:pt>
                <c:pt idx="3">
                  <c:v>47</c:v>
                </c:pt>
                <c:pt idx="4">
                  <c:v>55</c:v>
                </c:pt>
                <c:pt idx="5">
                  <c:v>61</c:v>
                </c:pt>
              </c:numCache>
            </c:numRef>
          </c:val>
          <c:extLst>
            <c:ext xmlns:c16="http://schemas.microsoft.com/office/drawing/2014/chart" uri="{C3380CC4-5D6E-409C-BE32-E72D297353CC}">
              <c16:uniqueId val="{0000000C-AD36-4DC0-BC81-39110EA46905}"/>
            </c:ext>
          </c:extLst>
        </c:ser>
        <c:dLbls>
          <c:showLegendKey val="0"/>
          <c:showVal val="1"/>
          <c:showCatName val="0"/>
          <c:showSerName val="0"/>
          <c:showPercent val="0"/>
          <c:showBubbleSize val="0"/>
        </c:dLbls>
        <c:axId val="999287904"/>
        <c:axId val="999304224"/>
      </c:radarChart>
      <c:catAx>
        <c:axId val="9992879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999304224"/>
        <c:crosses val="autoZero"/>
        <c:auto val="1"/>
        <c:lblAlgn val="ctr"/>
        <c:lblOffset val="100"/>
        <c:noMultiLvlLbl val="0"/>
      </c:catAx>
      <c:valAx>
        <c:axId val="999304224"/>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999287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Data.xlsx]Pivot Table!PivotTable20</c:name>
    <c:fmtId val="19"/>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b="1"/>
              <a:t>Revenue by Admission Days</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Table'!$B$70</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Table'!$A$71:$A$75</c:f>
              <c:strCache>
                <c:ptCount val="4"/>
                <c:pt idx="0">
                  <c:v>Immediate (1-5)</c:v>
                </c:pt>
                <c:pt idx="1">
                  <c:v>Short-term (6-10)</c:v>
                </c:pt>
                <c:pt idx="2">
                  <c:v>Medium-term (11-15)</c:v>
                </c:pt>
                <c:pt idx="3">
                  <c:v>Long-term (16-20)</c:v>
                </c:pt>
              </c:strCache>
            </c:strRef>
          </c:cat>
          <c:val>
            <c:numRef>
              <c:f>'Pivot Table'!$B$71:$B$75</c:f>
              <c:numCache>
                <c:formatCode>#.##,,"M"</c:formatCode>
                <c:ptCount val="4"/>
                <c:pt idx="0">
                  <c:v>23224011</c:v>
                </c:pt>
                <c:pt idx="1">
                  <c:v>28252265</c:v>
                </c:pt>
                <c:pt idx="2">
                  <c:v>31146006</c:v>
                </c:pt>
                <c:pt idx="3">
                  <c:v>22371050</c:v>
                </c:pt>
              </c:numCache>
            </c:numRef>
          </c:val>
          <c:extLst>
            <c:ext xmlns:c16="http://schemas.microsoft.com/office/drawing/2014/chart" uri="{C3380CC4-5D6E-409C-BE32-E72D297353CC}">
              <c16:uniqueId val="{00000000-FAC2-41E9-AB9D-C380A2DAB486}"/>
            </c:ext>
          </c:extLst>
        </c:ser>
        <c:dLbls>
          <c:dLblPos val="inEnd"/>
          <c:showLegendKey val="0"/>
          <c:showVal val="1"/>
          <c:showCatName val="0"/>
          <c:showSerName val="0"/>
          <c:showPercent val="0"/>
          <c:showBubbleSize val="0"/>
        </c:dLbls>
        <c:gapWidth val="41"/>
        <c:axId val="732508287"/>
        <c:axId val="732504927"/>
      </c:barChart>
      <c:catAx>
        <c:axId val="7325082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dk1">
                    <a:lumMod val="65000"/>
                    <a:lumOff val="35000"/>
                  </a:schemeClr>
                </a:solidFill>
                <a:effectLst/>
                <a:latin typeface="+mn-lt"/>
                <a:ea typeface="+mn-ea"/>
                <a:cs typeface="+mn-cs"/>
              </a:defRPr>
            </a:pPr>
            <a:endParaRPr lang="en-US"/>
          </a:p>
        </c:txPr>
        <c:crossAx val="732504927"/>
        <c:crosses val="autoZero"/>
        <c:auto val="1"/>
        <c:lblAlgn val="ctr"/>
        <c:lblOffset val="100"/>
        <c:noMultiLvlLbl val="0"/>
      </c:catAx>
      <c:valAx>
        <c:axId val="732504927"/>
        <c:scaling>
          <c:orientation val="minMax"/>
        </c:scaling>
        <c:delete val="1"/>
        <c:axPos val="l"/>
        <c:numFmt formatCode="#.##,,&quot;M&quot;" sourceLinked="1"/>
        <c:majorTickMark val="none"/>
        <c:minorTickMark val="none"/>
        <c:tickLblPos val="nextTo"/>
        <c:crossAx val="732508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Data.xlsx]Pivot Table!PivotTable3</c:name>
    <c:fmtId val="44"/>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b="1"/>
              <a:t>Revenue</a:t>
            </a:r>
            <a:r>
              <a:rPr lang="en-US" b="1" baseline="0"/>
              <a:t>  by Age Demographic</a:t>
            </a:r>
            <a:endParaRPr lang="en-US" b="1"/>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Table'!$B$103</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Table'!$A$104:$A$110</c:f>
              <c:strCache>
                <c:ptCount val="6"/>
                <c:pt idx="0">
                  <c:v>Toddler (0-4)</c:v>
                </c:pt>
                <c:pt idx="1">
                  <c:v>Child (5-12)</c:v>
                </c:pt>
                <c:pt idx="2">
                  <c:v>Adolescent (13-19)</c:v>
                </c:pt>
                <c:pt idx="3">
                  <c:v>Young adult (20-35)</c:v>
                </c:pt>
                <c:pt idx="4">
                  <c:v>Adult (36-59)</c:v>
                </c:pt>
                <c:pt idx="5">
                  <c:v>Elderly (60-90)</c:v>
                </c:pt>
              </c:strCache>
            </c:strRef>
          </c:cat>
          <c:val>
            <c:numRef>
              <c:f>'Pivot Table'!$B$104:$B$110</c:f>
              <c:numCache>
                <c:formatCode>#.##,,"M"</c:formatCode>
                <c:ptCount val="6"/>
                <c:pt idx="0">
                  <c:v>6960638</c:v>
                </c:pt>
                <c:pt idx="1">
                  <c:v>9042267</c:v>
                </c:pt>
                <c:pt idx="2">
                  <c:v>10692983</c:v>
                </c:pt>
                <c:pt idx="3">
                  <c:v>23133890</c:v>
                </c:pt>
                <c:pt idx="4">
                  <c:v>29747877</c:v>
                </c:pt>
                <c:pt idx="5">
                  <c:v>25415677</c:v>
                </c:pt>
              </c:numCache>
            </c:numRef>
          </c:val>
          <c:extLst>
            <c:ext xmlns:c16="http://schemas.microsoft.com/office/drawing/2014/chart" uri="{C3380CC4-5D6E-409C-BE32-E72D297353CC}">
              <c16:uniqueId val="{00000000-96B1-42B8-91B2-9AB9F6672E26}"/>
            </c:ext>
          </c:extLst>
        </c:ser>
        <c:dLbls>
          <c:dLblPos val="inEnd"/>
          <c:showLegendKey val="0"/>
          <c:showVal val="1"/>
          <c:showCatName val="0"/>
          <c:showSerName val="0"/>
          <c:showPercent val="0"/>
          <c:showBubbleSize val="0"/>
        </c:dLbls>
        <c:gapWidth val="41"/>
        <c:axId val="1657646559"/>
        <c:axId val="1657675839"/>
      </c:barChart>
      <c:catAx>
        <c:axId val="16576465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dk1">
                    <a:lumMod val="65000"/>
                    <a:lumOff val="35000"/>
                  </a:schemeClr>
                </a:solidFill>
                <a:effectLst/>
                <a:latin typeface="+mn-lt"/>
                <a:ea typeface="+mn-ea"/>
                <a:cs typeface="+mn-cs"/>
              </a:defRPr>
            </a:pPr>
            <a:endParaRPr lang="en-US"/>
          </a:p>
        </c:txPr>
        <c:crossAx val="1657675839"/>
        <c:crosses val="autoZero"/>
        <c:auto val="1"/>
        <c:lblAlgn val="ctr"/>
        <c:lblOffset val="100"/>
        <c:noMultiLvlLbl val="0"/>
      </c:catAx>
      <c:valAx>
        <c:axId val="1657675839"/>
        <c:scaling>
          <c:orientation val="minMax"/>
        </c:scaling>
        <c:delete val="1"/>
        <c:axPos val="l"/>
        <c:numFmt formatCode="#.##,,&quot;M&quot;" sourceLinked="1"/>
        <c:majorTickMark val="none"/>
        <c:minorTickMark val="none"/>
        <c:tickLblPos val="nextTo"/>
        <c:crossAx val="1657646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Data.xlsx]Pivot Table!PivotTable24</c:name>
    <c:fmtId val="25"/>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sz="1800" b="1"/>
              <a:t>Age Demographics Vs</a:t>
            </a:r>
            <a:r>
              <a:rPr lang="en-US" sz="1800" b="1" baseline="0"/>
              <a:t> Diagnosis</a:t>
            </a:r>
            <a:endParaRPr lang="en-US" sz="1800" b="1"/>
          </a:p>
        </c:rich>
      </c:tx>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delete val="1"/>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delete val="1"/>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delete val="1"/>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delete val="1"/>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delete val="1"/>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delete val="1"/>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delete val="1"/>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delete val="1"/>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delete val="1"/>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delete val="1"/>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delete val="1"/>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delete val="1"/>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delete val="1"/>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delete val="1"/>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delete val="1"/>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circle"/>
          <c:size val="5"/>
          <c:spPr>
            <a:solidFill>
              <a:schemeClr val="bg1"/>
            </a:solidFill>
            <a:ln w="9525">
              <a:solidFill>
                <a:schemeClr val="accent1"/>
              </a:solidFill>
            </a:ln>
            <a:effectLst/>
          </c:spPr>
        </c:marker>
        <c:dLbl>
          <c:idx val="0"/>
          <c:delete val="1"/>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4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4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5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5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5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5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5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5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5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5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5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5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6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6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6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6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6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6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6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delete val="1"/>
          <c:extLst>
            <c:ext xmlns:c15="http://schemas.microsoft.com/office/drawing/2012/chart" uri="{CE6537A1-D6FC-4f65-9D91-7224C49458BB}"/>
          </c:extLst>
        </c:dLbl>
      </c:pivotFmt>
      <c:pivotFmt>
        <c:idx val="67"/>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delete val="1"/>
          <c:extLst>
            <c:ext xmlns:c15="http://schemas.microsoft.com/office/drawing/2012/chart" uri="{CE6537A1-D6FC-4f65-9D91-7224C49458BB}"/>
          </c:extLst>
        </c:dLbl>
      </c:pivotFmt>
      <c:pivotFmt>
        <c:idx val="6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6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70"/>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71"/>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delete val="1"/>
          <c:extLst>
            <c:ext xmlns:c15="http://schemas.microsoft.com/office/drawing/2012/chart" uri="{CE6537A1-D6FC-4f65-9D91-7224C49458BB}"/>
          </c:extLst>
        </c:dLbl>
      </c:pivotFmt>
      <c:pivotFmt>
        <c:idx val="72"/>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delete val="1"/>
          <c:extLst>
            <c:ext xmlns:c15="http://schemas.microsoft.com/office/drawing/2012/chart" uri="{CE6537A1-D6FC-4f65-9D91-7224C49458BB}"/>
          </c:extLst>
        </c:dLbl>
      </c:pivotFmt>
      <c:pivotFmt>
        <c:idx val="7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7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7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7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7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7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7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delete val="1"/>
          <c:extLst>
            <c:ext xmlns:c15="http://schemas.microsoft.com/office/drawing/2012/chart" uri="{CE6537A1-D6FC-4f65-9D91-7224C49458BB}"/>
          </c:extLst>
        </c:dLbl>
      </c:pivotFmt>
      <c:pivotFmt>
        <c:idx val="80"/>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delete val="1"/>
          <c:extLst>
            <c:ext xmlns:c15="http://schemas.microsoft.com/office/drawing/2012/chart" uri="{CE6537A1-D6FC-4f65-9D91-7224C49458BB}"/>
          </c:extLst>
        </c:dLbl>
      </c:pivotFmt>
      <c:pivotFmt>
        <c:idx val="81"/>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delete val="1"/>
          <c:extLst>
            <c:ext xmlns:c15="http://schemas.microsoft.com/office/drawing/2012/chart" uri="{CE6537A1-D6FC-4f65-9D91-7224C49458BB}"/>
          </c:extLst>
        </c:dLbl>
      </c:pivotFmt>
      <c:pivotFmt>
        <c:idx val="8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8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8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delete val="1"/>
          <c:extLst>
            <c:ext xmlns:c15="http://schemas.microsoft.com/office/drawing/2012/chart" uri="{CE6537A1-D6FC-4f65-9D91-7224C49458BB}"/>
          </c:extLst>
        </c:dLbl>
      </c:pivotFmt>
      <c:pivotFmt>
        <c:idx val="85"/>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delete val="1"/>
          <c:extLst>
            <c:ext xmlns:c15="http://schemas.microsoft.com/office/drawing/2012/chart" uri="{CE6537A1-D6FC-4f65-9D91-7224C49458BB}"/>
          </c:extLst>
        </c:dLbl>
      </c:pivotFmt>
      <c:pivotFmt>
        <c:idx val="86"/>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delete val="1"/>
          <c:extLst>
            <c:ext xmlns:c15="http://schemas.microsoft.com/office/drawing/2012/chart" uri="{CE6537A1-D6FC-4f65-9D91-7224C49458BB}"/>
          </c:extLst>
        </c:dLbl>
      </c:pivotFmt>
      <c:pivotFmt>
        <c:idx val="8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88"/>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89"/>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delete val="1"/>
          <c:extLst>
            <c:ext xmlns:c15="http://schemas.microsoft.com/office/drawing/2012/chart" uri="{CE6537A1-D6FC-4f65-9D91-7224C49458BB}"/>
          </c:extLst>
        </c:dLbl>
      </c:pivotFmt>
      <c:pivotFmt>
        <c:idx val="90"/>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delete val="1"/>
          <c:extLst>
            <c:ext xmlns:c15="http://schemas.microsoft.com/office/drawing/2012/chart" uri="{CE6537A1-D6FC-4f65-9D91-7224C49458BB}"/>
          </c:extLst>
        </c:dLbl>
      </c:pivotFmt>
      <c:pivotFmt>
        <c:idx val="91"/>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delete val="1"/>
          <c:extLst>
            <c:ext xmlns:c15="http://schemas.microsoft.com/office/drawing/2012/chart" uri="{CE6537A1-D6FC-4f65-9D91-7224C49458BB}"/>
          </c:extLst>
        </c:dLbl>
      </c:pivotFmt>
      <c:pivotFmt>
        <c:idx val="9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93"/>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94"/>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delete val="1"/>
          <c:extLst>
            <c:ext xmlns:c15="http://schemas.microsoft.com/office/drawing/2012/chart" uri="{CE6537A1-D6FC-4f65-9D91-7224C49458BB}"/>
          </c:extLst>
        </c:dLbl>
      </c:pivotFmt>
      <c:pivotFmt>
        <c:idx val="95"/>
        <c:spPr>
          <a:ln w="28575" cap="rnd">
            <a:solidFill>
              <a:schemeClr val="accent4"/>
            </a:solidFill>
            <a:round/>
          </a:ln>
          <a:effectLst/>
        </c:spPr>
        <c:marker>
          <c:symbol val="circle"/>
          <c:size val="5"/>
          <c:spPr>
            <a:solidFill>
              <a:schemeClr val="accent4"/>
            </a:solidFill>
            <a:ln w="9525">
              <a:solidFill>
                <a:schemeClr val="accent4"/>
              </a:solidFill>
            </a:ln>
            <a:effectLst/>
          </c:spPr>
        </c:marker>
        <c:dLbl>
          <c:idx val="0"/>
          <c:delete val="1"/>
          <c:extLst>
            <c:ext xmlns:c15="http://schemas.microsoft.com/office/drawing/2012/chart" uri="{CE6537A1-D6FC-4f65-9D91-7224C49458BB}"/>
          </c:extLst>
        </c:dLbl>
      </c:pivotFmt>
      <c:pivotFmt>
        <c:idx val="96"/>
        <c:spPr>
          <a:ln w="28575" cap="rnd">
            <a:solidFill>
              <a:schemeClr val="accent5"/>
            </a:solidFill>
            <a:round/>
          </a:ln>
          <a:effectLst/>
        </c:spPr>
        <c:marker>
          <c:symbol val="circle"/>
          <c:size val="5"/>
          <c:spPr>
            <a:solidFill>
              <a:schemeClr val="accent5"/>
            </a:solidFill>
            <a:ln w="9525">
              <a:solidFill>
                <a:schemeClr val="accent5"/>
              </a:solidFill>
            </a:ln>
            <a:effectLst/>
          </c:spPr>
        </c:marker>
        <c:dLbl>
          <c:idx val="0"/>
          <c:delete val="1"/>
          <c:extLst>
            <c:ext xmlns:c15="http://schemas.microsoft.com/office/drawing/2012/chart" uri="{CE6537A1-D6FC-4f65-9D91-7224C49458BB}"/>
          </c:extLst>
        </c:dLbl>
      </c:pivotFmt>
      <c:pivotFmt>
        <c:idx val="9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98"/>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99"/>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delete val="1"/>
          <c:extLst>
            <c:ext xmlns:c15="http://schemas.microsoft.com/office/drawing/2012/chart" uri="{CE6537A1-D6FC-4f65-9D91-7224C49458BB}"/>
          </c:extLst>
        </c:dLbl>
      </c:pivotFmt>
      <c:pivotFmt>
        <c:idx val="100"/>
        <c:spPr>
          <a:ln w="28575" cap="rnd">
            <a:solidFill>
              <a:schemeClr val="accent4"/>
            </a:solidFill>
            <a:round/>
          </a:ln>
          <a:effectLst/>
        </c:spPr>
        <c:marker>
          <c:symbol val="circle"/>
          <c:size val="5"/>
          <c:spPr>
            <a:solidFill>
              <a:schemeClr val="accent4"/>
            </a:solidFill>
            <a:ln w="9525">
              <a:solidFill>
                <a:schemeClr val="accent4"/>
              </a:solidFill>
            </a:ln>
            <a:effectLst/>
          </c:spPr>
        </c:marker>
        <c:dLbl>
          <c:idx val="0"/>
          <c:delete val="1"/>
          <c:extLst>
            <c:ext xmlns:c15="http://schemas.microsoft.com/office/drawing/2012/chart" uri="{CE6537A1-D6FC-4f65-9D91-7224C49458BB}"/>
          </c:extLst>
        </c:dLbl>
      </c:pivotFmt>
      <c:pivotFmt>
        <c:idx val="101"/>
        <c:spPr>
          <a:ln w="28575" cap="rnd">
            <a:solidFill>
              <a:schemeClr val="accent5"/>
            </a:solidFill>
            <a:round/>
          </a:ln>
          <a:effectLst/>
        </c:spPr>
        <c:marker>
          <c:symbol val="circle"/>
          <c:size val="5"/>
          <c:spPr>
            <a:solidFill>
              <a:schemeClr val="accent5"/>
            </a:solidFill>
            <a:ln w="9525">
              <a:solidFill>
                <a:schemeClr val="accent5"/>
              </a:solidFill>
            </a:ln>
            <a:effectLst/>
          </c:spPr>
        </c:marker>
        <c:dLbl>
          <c:idx val="0"/>
          <c:delete val="1"/>
          <c:extLst>
            <c:ext xmlns:c15="http://schemas.microsoft.com/office/drawing/2012/chart" uri="{CE6537A1-D6FC-4f65-9D91-7224C49458BB}"/>
          </c:extLst>
        </c:dLbl>
      </c:pivotFmt>
      <c:pivotFmt>
        <c:idx val="10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103"/>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104"/>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delete val="1"/>
          <c:extLst>
            <c:ext xmlns:c15="http://schemas.microsoft.com/office/drawing/2012/chart" uri="{CE6537A1-D6FC-4f65-9D91-7224C49458BB}"/>
          </c:extLst>
        </c:dLbl>
      </c:pivotFmt>
      <c:pivotFmt>
        <c:idx val="105"/>
        <c:spPr>
          <a:ln w="28575" cap="rnd">
            <a:solidFill>
              <a:schemeClr val="accent4"/>
            </a:solidFill>
            <a:round/>
          </a:ln>
          <a:effectLst/>
        </c:spPr>
        <c:marker>
          <c:symbol val="circle"/>
          <c:size val="5"/>
          <c:spPr>
            <a:solidFill>
              <a:schemeClr val="accent4"/>
            </a:solidFill>
            <a:ln w="9525">
              <a:solidFill>
                <a:schemeClr val="accent4"/>
              </a:solidFill>
            </a:ln>
            <a:effectLst/>
          </c:spPr>
        </c:marker>
        <c:dLbl>
          <c:idx val="0"/>
          <c:delete val="1"/>
          <c:extLst>
            <c:ext xmlns:c15="http://schemas.microsoft.com/office/drawing/2012/chart" uri="{CE6537A1-D6FC-4f65-9D91-7224C49458BB}"/>
          </c:extLst>
        </c:dLbl>
      </c:pivotFmt>
      <c:pivotFmt>
        <c:idx val="106"/>
        <c:spPr>
          <a:ln w="28575" cap="rnd">
            <a:solidFill>
              <a:schemeClr val="accent5"/>
            </a:solidFill>
            <a:round/>
          </a:ln>
          <a:effectLst/>
        </c:spPr>
        <c:marker>
          <c:symbol val="circle"/>
          <c:size val="5"/>
          <c:spPr>
            <a:solidFill>
              <a:schemeClr val="accent5"/>
            </a:solidFill>
            <a:ln w="9525">
              <a:solidFill>
                <a:schemeClr val="accent5"/>
              </a:solidFill>
            </a:ln>
            <a:effectLst/>
          </c:spPr>
        </c:marker>
        <c:dLbl>
          <c:idx val="0"/>
          <c:delete val="1"/>
          <c:extLst>
            <c:ext xmlns:c15="http://schemas.microsoft.com/office/drawing/2012/chart" uri="{CE6537A1-D6FC-4f65-9D91-7224C49458BB}"/>
          </c:extLst>
        </c:dLbl>
      </c:pivotFmt>
      <c:pivotFmt>
        <c:idx val="107"/>
        <c:spPr>
          <a:ln w="28575" cap="rnd">
            <a:noFill/>
            <a:round/>
          </a:ln>
          <a:effectLst/>
        </c:spPr>
        <c:marker>
          <c:symbol val="none"/>
        </c:marker>
        <c:dLbl>
          <c:idx val="0"/>
          <c:spPr>
            <a:noFill/>
            <a:ln>
              <a:noFill/>
            </a:ln>
            <a:effectLst/>
          </c:spPr>
          <c:txPr>
            <a:bodyPr wrap="square" lIns="38100" tIns="19050" rIns="38100" bIns="19050" anchor="ctr">
              <a:spAutoFit/>
            </a:bodyPr>
            <a:lstStyle/>
            <a:p>
              <a:pPr>
                <a:defRPr b="0">
                  <a:solidFill>
                    <a:schemeClr val="bg1"/>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8"/>
        <c:spPr>
          <a:ln w="28575" cap="rnd">
            <a:noFill/>
            <a:round/>
          </a:ln>
          <a:effectLst/>
        </c:spPr>
        <c:marker>
          <c:symbol val="none"/>
        </c:marker>
        <c:dLbl>
          <c:idx val="0"/>
          <c:spPr>
            <a:noFill/>
            <a:ln>
              <a:noFill/>
            </a:ln>
            <a:effectLst/>
          </c:spPr>
          <c:txPr>
            <a:bodyPr wrap="square" lIns="38100" tIns="19050" rIns="38100" bIns="19050" anchor="ctr">
              <a:spAutoFit/>
            </a:bodyPr>
            <a:lstStyle/>
            <a:p>
              <a:pPr>
                <a:defRPr b="1">
                  <a:solidFill>
                    <a:schemeClr val="bg1"/>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9"/>
        <c:spPr>
          <a:ln w="28575" cap="rnd">
            <a:noFill/>
            <a:round/>
          </a:ln>
          <a:effectLst/>
        </c:spPr>
        <c:marker>
          <c:symbol val="none"/>
        </c:marker>
        <c:dLbl>
          <c:idx val="0"/>
          <c:spPr>
            <a:noFill/>
            <a:ln>
              <a:noFill/>
            </a:ln>
            <a:effectLst/>
          </c:spPr>
          <c:txPr>
            <a:bodyPr wrap="square" lIns="38100" tIns="19050" rIns="38100" bIns="19050" anchor="ctr">
              <a:spAutoFit/>
            </a:bodyPr>
            <a:lstStyle/>
            <a:p>
              <a:pPr>
                <a:defRPr b="0">
                  <a:solidFill>
                    <a:schemeClr val="bg1"/>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0"/>
        <c:spPr>
          <a:ln w="28575" cap="rnd">
            <a:noFill/>
            <a:round/>
          </a:ln>
          <a:effectLst/>
        </c:spPr>
        <c:marker>
          <c:symbol val="none"/>
        </c:marker>
        <c:dLbl>
          <c:idx val="0"/>
          <c:spPr>
            <a:noFill/>
            <a:ln>
              <a:noFill/>
            </a:ln>
            <a:effectLst/>
          </c:spPr>
          <c:txPr>
            <a:bodyPr wrap="square" lIns="38100" tIns="19050" rIns="38100" bIns="19050" anchor="ctr">
              <a:spAutoFit/>
            </a:bodyPr>
            <a:lstStyle/>
            <a:p>
              <a:pPr>
                <a:defRPr b="0">
                  <a:solidFill>
                    <a:schemeClr val="bg1"/>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1"/>
        <c:spPr>
          <a:ln w="28575" cap="rnd">
            <a:noFill/>
            <a:round/>
          </a:ln>
          <a:effectLst/>
        </c:spPr>
        <c:marker>
          <c:symbol val="none"/>
        </c:marker>
        <c:dLbl>
          <c:idx val="0"/>
          <c:spPr>
            <a:noFill/>
            <a:ln>
              <a:noFill/>
            </a:ln>
            <a:effectLst/>
          </c:spPr>
          <c:txPr>
            <a:bodyPr wrap="square" lIns="38100" tIns="19050" rIns="38100" bIns="19050" anchor="ctr">
              <a:spAutoFit/>
            </a:bodyPr>
            <a:lstStyle/>
            <a:p>
              <a:pPr>
                <a:defRPr b="1">
                  <a:solidFill>
                    <a:schemeClr val="bg1"/>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2"/>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3"/>
        <c:dLbl>
          <c:idx val="0"/>
          <c:delete val="1"/>
          <c:extLst>
            <c:ext xmlns:c15="http://schemas.microsoft.com/office/drawing/2012/chart" uri="{CE6537A1-D6FC-4f65-9D91-7224C49458BB}"/>
          </c:extLst>
        </c:dLbl>
      </c:pivotFmt>
      <c:pivotFmt>
        <c:idx val="114"/>
        <c:dLbl>
          <c:idx val="0"/>
          <c:delete val="1"/>
          <c:extLst>
            <c:ext xmlns:c15="http://schemas.microsoft.com/office/drawing/2012/chart" uri="{CE6537A1-D6FC-4f65-9D91-7224C49458BB}"/>
          </c:extLst>
        </c:dLbl>
      </c:pivotFmt>
      <c:pivotFmt>
        <c:idx val="115"/>
        <c:dLbl>
          <c:idx val="0"/>
          <c:delete val="1"/>
          <c:extLst>
            <c:ext xmlns:c15="http://schemas.microsoft.com/office/drawing/2012/chart" uri="{CE6537A1-D6FC-4f65-9D91-7224C49458BB}"/>
          </c:extLst>
        </c:dLbl>
      </c:pivotFmt>
      <c:pivotFmt>
        <c:idx val="116"/>
        <c:dLbl>
          <c:idx val="0"/>
          <c:delete val="1"/>
          <c:extLst>
            <c:ext xmlns:c15="http://schemas.microsoft.com/office/drawing/2012/chart" uri="{CE6537A1-D6FC-4f65-9D91-7224C49458BB}"/>
          </c:extLst>
        </c:dLbl>
      </c:pivotFmt>
      <c:pivotFmt>
        <c:idx val="117"/>
        <c:dLbl>
          <c:idx val="0"/>
          <c:delete val="1"/>
          <c:extLst>
            <c:ext xmlns:c15="http://schemas.microsoft.com/office/drawing/2012/chart" uri="{CE6537A1-D6FC-4f65-9D91-7224C49458BB}"/>
          </c:extLst>
        </c:dLbl>
      </c:pivotFmt>
      <c:pivotFmt>
        <c:idx val="118"/>
        <c:dLbl>
          <c:idx val="0"/>
          <c:delete val="1"/>
          <c:extLst>
            <c:ext xmlns:c15="http://schemas.microsoft.com/office/drawing/2012/chart" uri="{CE6537A1-D6FC-4f65-9D91-7224C49458BB}"/>
          </c:extLst>
        </c:dLbl>
      </c:pivotFmt>
      <c:pivotFmt>
        <c:idx val="119"/>
        <c:dLbl>
          <c:idx val="0"/>
          <c:showLegendKey val="0"/>
          <c:showVal val="1"/>
          <c:showCatName val="0"/>
          <c:showSerName val="0"/>
          <c:showPercent val="0"/>
          <c:showBubbleSize val="0"/>
          <c:extLst>
            <c:ext xmlns:c15="http://schemas.microsoft.com/office/drawing/2012/chart" uri="{CE6537A1-D6FC-4f65-9D91-7224C49458BB}"/>
          </c:extLst>
        </c:dLbl>
      </c:pivotFmt>
      <c:pivotFmt>
        <c:idx val="120"/>
        <c:dLbl>
          <c:idx val="0"/>
          <c:showLegendKey val="0"/>
          <c:showVal val="1"/>
          <c:showCatName val="0"/>
          <c:showSerName val="0"/>
          <c:showPercent val="0"/>
          <c:showBubbleSize val="0"/>
          <c:extLst>
            <c:ext xmlns:c15="http://schemas.microsoft.com/office/drawing/2012/chart" uri="{CE6537A1-D6FC-4f65-9D91-7224C49458BB}"/>
          </c:extLst>
        </c:dLbl>
      </c:pivotFmt>
      <c:pivotFmt>
        <c:idx val="121"/>
        <c:dLbl>
          <c:idx val="0"/>
          <c:showLegendKey val="0"/>
          <c:showVal val="1"/>
          <c:showCatName val="0"/>
          <c:showSerName val="0"/>
          <c:showPercent val="0"/>
          <c:showBubbleSize val="0"/>
          <c:extLst>
            <c:ext xmlns:c15="http://schemas.microsoft.com/office/drawing/2012/chart" uri="{CE6537A1-D6FC-4f65-9D91-7224C49458BB}"/>
          </c:extLst>
        </c:dLbl>
      </c:pivotFmt>
      <c:pivotFmt>
        <c:idx val="122"/>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3"/>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4"/>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5"/>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6"/>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7"/>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8"/>
        <c:marker>
          <c:symbol val="none"/>
        </c:marker>
        <c:dLbl>
          <c:idx val="0"/>
          <c:spPr>
            <a:noFill/>
            <a:ln>
              <a:noFill/>
            </a:ln>
            <a:effectLst/>
          </c:spPr>
          <c:txPr>
            <a:bodyPr wrap="square" lIns="38100" tIns="19050" rIns="38100" bIns="19050" anchor="ctr">
              <a:spAutoFit/>
            </a:bodyPr>
            <a:lstStyle/>
            <a:p>
              <a:pPr>
                <a:defRPr sz="1050" b="1">
                  <a:solidFill>
                    <a:schemeClr val="bg1"/>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9"/>
        <c:marker>
          <c:symbol val="none"/>
        </c:marker>
        <c:dLbl>
          <c:idx val="0"/>
          <c:spPr>
            <a:noFill/>
            <a:ln>
              <a:noFill/>
            </a:ln>
            <a:effectLst/>
          </c:spPr>
          <c:txPr>
            <a:bodyPr wrap="square" lIns="38100" tIns="19050" rIns="38100" bIns="19050" anchor="ctr">
              <a:spAutoFit/>
            </a:bodyPr>
            <a:lstStyle/>
            <a:p>
              <a:pPr>
                <a:defRPr sz="1050" b="1">
                  <a:solidFill>
                    <a:schemeClr val="bg1"/>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0"/>
        <c:marker>
          <c:symbol val="none"/>
        </c:marker>
        <c:dLbl>
          <c:idx val="0"/>
          <c:spPr>
            <a:noFill/>
            <a:ln>
              <a:noFill/>
            </a:ln>
            <a:effectLst/>
          </c:spPr>
          <c:txPr>
            <a:bodyPr wrap="square" lIns="38100" tIns="19050" rIns="38100" bIns="19050" anchor="ctr">
              <a:spAutoFit/>
            </a:bodyPr>
            <a:lstStyle/>
            <a:p>
              <a:pPr>
                <a:defRPr sz="1050" b="0">
                  <a:solidFill>
                    <a:schemeClr val="bg1"/>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1"/>
        <c:marker>
          <c:symbol val="none"/>
        </c:marker>
        <c:dLbl>
          <c:idx val="0"/>
          <c:spPr>
            <a:noFill/>
            <a:ln>
              <a:noFill/>
            </a:ln>
            <a:effectLst/>
          </c:spPr>
          <c:txPr>
            <a:bodyPr wrap="square" lIns="38100" tIns="19050" rIns="38100" bIns="19050" anchor="ctr">
              <a:spAutoFit/>
            </a:bodyPr>
            <a:lstStyle/>
            <a:p>
              <a:pPr>
                <a:defRPr sz="1050" b="0">
                  <a:solidFill>
                    <a:schemeClr val="bg1"/>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2"/>
        <c:marker>
          <c:symbol val="none"/>
        </c:marker>
        <c:dLbl>
          <c:idx val="0"/>
          <c:spPr>
            <a:noFill/>
            <a:ln>
              <a:noFill/>
            </a:ln>
            <a:effectLst/>
          </c:spPr>
          <c:txPr>
            <a:bodyPr wrap="square" lIns="38100" tIns="19050" rIns="38100" bIns="19050" anchor="ctr">
              <a:spAutoFit/>
            </a:bodyPr>
            <a:lstStyle/>
            <a:p>
              <a:pPr>
                <a:defRPr sz="1050" b="0">
                  <a:solidFill>
                    <a:schemeClr val="bg1"/>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Table'!$B$56:$B$57</c:f>
              <c:strCache>
                <c:ptCount val="1"/>
                <c:pt idx="0">
                  <c:v>Appendicitis</c:v>
                </c:pt>
              </c:strCache>
            </c:strRef>
          </c:tx>
          <c:spPr>
            <a:ln w="28575" cap="rnd">
              <a:noFill/>
              <a:round/>
            </a:ln>
            <a:effectLst/>
          </c:spPr>
          <c:invertIfNegative val="0"/>
          <c:dLbls>
            <c:spPr>
              <a:noFill/>
              <a:ln>
                <a:noFill/>
              </a:ln>
              <a:effectLst/>
            </c:spPr>
            <c:txPr>
              <a:bodyPr wrap="square" lIns="38100" tIns="19050" rIns="38100" bIns="19050" anchor="ctr">
                <a:spAutoFit/>
              </a:bodyPr>
              <a:lstStyle/>
              <a:p>
                <a:pPr>
                  <a:defRPr b="0">
                    <a:solidFill>
                      <a:schemeClr val="bg1"/>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Table'!$A$58:$A$64</c:f>
              <c:strCache>
                <c:ptCount val="6"/>
                <c:pt idx="0">
                  <c:v>Toddler (0-4)</c:v>
                </c:pt>
                <c:pt idx="1">
                  <c:v>Child (5-12)</c:v>
                </c:pt>
                <c:pt idx="2">
                  <c:v>Adolescent (13-19)</c:v>
                </c:pt>
                <c:pt idx="3">
                  <c:v>Young adult (20-35)</c:v>
                </c:pt>
                <c:pt idx="4">
                  <c:v>Adult (36-59)</c:v>
                </c:pt>
                <c:pt idx="5">
                  <c:v>Elderly (60-90)</c:v>
                </c:pt>
              </c:strCache>
            </c:strRef>
          </c:cat>
          <c:val>
            <c:numRef>
              <c:f>'Pivot Table'!$B$58:$B$64</c:f>
              <c:numCache>
                <c:formatCode>#.##,,"M"</c:formatCode>
                <c:ptCount val="6"/>
                <c:pt idx="0">
                  <c:v>2277867</c:v>
                </c:pt>
                <c:pt idx="1">
                  <c:v>2401784</c:v>
                </c:pt>
                <c:pt idx="2">
                  <c:v>1662903</c:v>
                </c:pt>
                <c:pt idx="3">
                  <c:v>5951658</c:v>
                </c:pt>
                <c:pt idx="4">
                  <c:v>5326590</c:v>
                </c:pt>
                <c:pt idx="5">
                  <c:v>5454347</c:v>
                </c:pt>
              </c:numCache>
            </c:numRef>
          </c:val>
          <c:extLst>
            <c:ext xmlns:c16="http://schemas.microsoft.com/office/drawing/2014/chart" uri="{C3380CC4-5D6E-409C-BE32-E72D297353CC}">
              <c16:uniqueId val="{00000014-146E-474F-96A1-1BBFB185BCFC}"/>
            </c:ext>
          </c:extLst>
        </c:ser>
        <c:ser>
          <c:idx val="1"/>
          <c:order val="1"/>
          <c:tx>
            <c:strRef>
              <c:f>'Pivot Table'!$C$56:$C$57</c:f>
              <c:strCache>
                <c:ptCount val="1"/>
                <c:pt idx="0">
                  <c:v>Hypertension</c:v>
                </c:pt>
              </c:strCache>
            </c:strRef>
          </c:tx>
          <c:spPr>
            <a:ln w="28575" cap="rnd">
              <a:noFill/>
              <a:round/>
            </a:ln>
            <a:effectLst/>
          </c:spPr>
          <c:invertIfNegative val="0"/>
          <c:dLbls>
            <c:spPr>
              <a:noFill/>
              <a:ln>
                <a:noFill/>
              </a:ln>
              <a:effectLst/>
            </c:spPr>
            <c:txPr>
              <a:bodyPr wrap="square" lIns="38100" tIns="19050" rIns="38100" bIns="19050" anchor="ctr">
                <a:spAutoFit/>
              </a:bodyPr>
              <a:lstStyle/>
              <a:p>
                <a:pPr>
                  <a:defRPr b="0">
                    <a:solidFill>
                      <a:schemeClr val="bg1"/>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Table'!$A$58:$A$64</c:f>
              <c:strCache>
                <c:ptCount val="6"/>
                <c:pt idx="0">
                  <c:v>Toddler (0-4)</c:v>
                </c:pt>
                <c:pt idx="1">
                  <c:v>Child (5-12)</c:v>
                </c:pt>
                <c:pt idx="2">
                  <c:v>Adolescent (13-19)</c:v>
                </c:pt>
                <c:pt idx="3">
                  <c:v>Young adult (20-35)</c:v>
                </c:pt>
                <c:pt idx="4">
                  <c:v>Adult (36-59)</c:v>
                </c:pt>
                <c:pt idx="5">
                  <c:v>Elderly (60-90)</c:v>
                </c:pt>
              </c:strCache>
            </c:strRef>
          </c:cat>
          <c:val>
            <c:numRef>
              <c:f>'Pivot Table'!$C$58:$C$64</c:f>
              <c:numCache>
                <c:formatCode>#.##,,"M"</c:formatCode>
                <c:ptCount val="6"/>
                <c:pt idx="0">
                  <c:v>1206310</c:v>
                </c:pt>
                <c:pt idx="1">
                  <c:v>1467615</c:v>
                </c:pt>
                <c:pt idx="2">
                  <c:v>1929415</c:v>
                </c:pt>
                <c:pt idx="3">
                  <c:v>3163398</c:v>
                </c:pt>
                <c:pt idx="4">
                  <c:v>8358592</c:v>
                </c:pt>
                <c:pt idx="5">
                  <c:v>6620454</c:v>
                </c:pt>
              </c:numCache>
            </c:numRef>
          </c:val>
          <c:extLst>
            <c:ext xmlns:c16="http://schemas.microsoft.com/office/drawing/2014/chart" uri="{C3380CC4-5D6E-409C-BE32-E72D297353CC}">
              <c16:uniqueId val="{0000003F-146E-474F-96A1-1BBFB185BCFC}"/>
            </c:ext>
          </c:extLst>
        </c:ser>
        <c:ser>
          <c:idx val="2"/>
          <c:order val="2"/>
          <c:tx>
            <c:strRef>
              <c:f>'Pivot Table'!$D$56:$D$57</c:f>
              <c:strCache>
                <c:ptCount val="1"/>
                <c:pt idx="0">
                  <c:v>Malaria</c:v>
                </c:pt>
              </c:strCache>
            </c:strRef>
          </c:tx>
          <c:spPr>
            <a:ln w="28575" cap="rnd">
              <a:noFill/>
              <a:round/>
            </a:ln>
            <a:effectLst/>
          </c:spPr>
          <c:invertIfNegative val="0"/>
          <c:dLbls>
            <c:spPr>
              <a:noFill/>
              <a:ln>
                <a:noFill/>
              </a:ln>
              <a:effectLst/>
            </c:spPr>
            <c:txPr>
              <a:bodyPr wrap="square" lIns="38100" tIns="19050" rIns="38100" bIns="19050" anchor="ctr">
                <a:spAutoFit/>
              </a:bodyPr>
              <a:lstStyle/>
              <a:p>
                <a:pPr>
                  <a:defRPr b="0">
                    <a:solidFill>
                      <a:schemeClr val="bg1"/>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Table'!$A$58:$A$64</c:f>
              <c:strCache>
                <c:ptCount val="6"/>
                <c:pt idx="0">
                  <c:v>Toddler (0-4)</c:v>
                </c:pt>
                <c:pt idx="1">
                  <c:v>Child (5-12)</c:v>
                </c:pt>
                <c:pt idx="2">
                  <c:v>Adolescent (13-19)</c:v>
                </c:pt>
                <c:pt idx="3">
                  <c:v>Young adult (20-35)</c:v>
                </c:pt>
                <c:pt idx="4">
                  <c:v>Adult (36-59)</c:v>
                </c:pt>
                <c:pt idx="5">
                  <c:v>Elderly (60-90)</c:v>
                </c:pt>
              </c:strCache>
            </c:strRef>
          </c:cat>
          <c:val>
            <c:numRef>
              <c:f>'Pivot Table'!$D$58:$D$64</c:f>
              <c:numCache>
                <c:formatCode>#.##,,"M"</c:formatCode>
                <c:ptCount val="6"/>
                <c:pt idx="0">
                  <c:v>2081225</c:v>
                </c:pt>
                <c:pt idx="1">
                  <c:v>2722927</c:v>
                </c:pt>
                <c:pt idx="2">
                  <c:v>2749343</c:v>
                </c:pt>
                <c:pt idx="3">
                  <c:v>2141877</c:v>
                </c:pt>
                <c:pt idx="4">
                  <c:v>4979390</c:v>
                </c:pt>
                <c:pt idx="5">
                  <c:v>7951329</c:v>
                </c:pt>
              </c:numCache>
            </c:numRef>
          </c:val>
          <c:extLst>
            <c:ext xmlns:c16="http://schemas.microsoft.com/office/drawing/2014/chart" uri="{C3380CC4-5D6E-409C-BE32-E72D297353CC}">
              <c16:uniqueId val="{00000040-146E-474F-96A1-1BBFB185BCFC}"/>
            </c:ext>
          </c:extLst>
        </c:ser>
        <c:ser>
          <c:idx val="3"/>
          <c:order val="3"/>
          <c:tx>
            <c:strRef>
              <c:f>'Pivot Table'!$E$56:$E$57</c:f>
              <c:strCache>
                <c:ptCount val="1"/>
                <c:pt idx="0">
                  <c:v>Typhoid</c:v>
                </c:pt>
              </c:strCache>
            </c:strRef>
          </c:tx>
          <c:spPr>
            <a:ln w="28575" cap="rnd">
              <a:noFill/>
              <a:round/>
            </a:ln>
            <a:effectLst/>
          </c:spPr>
          <c:invertIfNegative val="0"/>
          <c:dLbls>
            <c:spPr>
              <a:noFill/>
              <a:ln>
                <a:noFill/>
              </a:ln>
              <a:effectLst/>
            </c:spPr>
            <c:txPr>
              <a:bodyPr wrap="square" lIns="38100" tIns="19050" rIns="38100" bIns="19050" anchor="ctr">
                <a:spAutoFit/>
              </a:bodyPr>
              <a:lstStyle/>
              <a:p>
                <a:pPr>
                  <a:defRPr b="1">
                    <a:solidFill>
                      <a:schemeClr val="bg1"/>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Table'!$A$58:$A$64</c:f>
              <c:strCache>
                <c:ptCount val="6"/>
                <c:pt idx="0">
                  <c:v>Toddler (0-4)</c:v>
                </c:pt>
                <c:pt idx="1">
                  <c:v>Child (5-12)</c:v>
                </c:pt>
                <c:pt idx="2">
                  <c:v>Adolescent (13-19)</c:v>
                </c:pt>
                <c:pt idx="3">
                  <c:v>Young adult (20-35)</c:v>
                </c:pt>
                <c:pt idx="4">
                  <c:v>Adult (36-59)</c:v>
                </c:pt>
                <c:pt idx="5">
                  <c:v>Elderly (60-90)</c:v>
                </c:pt>
              </c:strCache>
            </c:strRef>
          </c:cat>
          <c:val>
            <c:numRef>
              <c:f>'Pivot Table'!$E$58:$E$64</c:f>
              <c:numCache>
                <c:formatCode>#.##,,"M"</c:formatCode>
                <c:ptCount val="6"/>
                <c:pt idx="0">
                  <c:v>1395236</c:v>
                </c:pt>
                <c:pt idx="1">
                  <c:v>1568109</c:v>
                </c:pt>
                <c:pt idx="2">
                  <c:v>2301468</c:v>
                </c:pt>
                <c:pt idx="3">
                  <c:v>5813767</c:v>
                </c:pt>
                <c:pt idx="4">
                  <c:v>5014864</c:v>
                </c:pt>
                <c:pt idx="5">
                  <c:v>3046890</c:v>
                </c:pt>
              </c:numCache>
            </c:numRef>
          </c:val>
          <c:extLst>
            <c:ext xmlns:c16="http://schemas.microsoft.com/office/drawing/2014/chart" uri="{C3380CC4-5D6E-409C-BE32-E72D297353CC}">
              <c16:uniqueId val="{00000041-146E-474F-96A1-1BBFB185BCFC}"/>
            </c:ext>
          </c:extLst>
        </c:ser>
        <c:ser>
          <c:idx val="4"/>
          <c:order val="4"/>
          <c:tx>
            <c:strRef>
              <c:f>'Pivot Table'!$F$56:$F$57</c:f>
              <c:strCache>
                <c:ptCount val="1"/>
                <c:pt idx="0">
                  <c:v>Diabetes</c:v>
                </c:pt>
              </c:strCache>
            </c:strRef>
          </c:tx>
          <c:spPr>
            <a:ln w="28575" cap="rnd">
              <a:noFill/>
              <a:round/>
            </a:ln>
            <a:effectLst/>
          </c:spPr>
          <c:invertIfNegative val="0"/>
          <c:dLbls>
            <c:spPr>
              <a:noFill/>
              <a:ln>
                <a:noFill/>
              </a:ln>
              <a:effectLst/>
            </c:spPr>
            <c:txPr>
              <a:bodyPr wrap="square" lIns="38100" tIns="19050" rIns="38100" bIns="19050" anchor="ctr">
                <a:spAutoFit/>
              </a:bodyPr>
              <a:lstStyle/>
              <a:p>
                <a:pPr>
                  <a:defRPr b="1">
                    <a:solidFill>
                      <a:schemeClr val="bg1"/>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Table'!$A$58:$A$64</c:f>
              <c:strCache>
                <c:ptCount val="6"/>
                <c:pt idx="0">
                  <c:v>Toddler (0-4)</c:v>
                </c:pt>
                <c:pt idx="1">
                  <c:v>Child (5-12)</c:v>
                </c:pt>
                <c:pt idx="2">
                  <c:v>Adolescent (13-19)</c:v>
                </c:pt>
                <c:pt idx="3">
                  <c:v>Young adult (20-35)</c:v>
                </c:pt>
                <c:pt idx="4">
                  <c:v>Adult (36-59)</c:v>
                </c:pt>
                <c:pt idx="5">
                  <c:v>Elderly (60-90)</c:v>
                </c:pt>
              </c:strCache>
            </c:strRef>
          </c:cat>
          <c:val>
            <c:numRef>
              <c:f>'Pivot Table'!$F$58:$F$64</c:f>
              <c:numCache>
                <c:formatCode>#.##,,"M"</c:formatCode>
                <c:ptCount val="6"/>
                <c:pt idx="1">
                  <c:v>881832</c:v>
                </c:pt>
                <c:pt idx="2">
                  <c:v>2049854</c:v>
                </c:pt>
                <c:pt idx="3">
                  <c:v>6063190</c:v>
                </c:pt>
                <c:pt idx="4">
                  <c:v>6068441</c:v>
                </c:pt>
                <c:pt idx="5">
                  <c:v>2342657</c:v>
                </c:pt>
              </c:numCache>
            </c:numRef>
          </c:val>
          <c:extLst>
            <c:ext xmlns:c16="http://schemas.microsoft.com/office/drawing/2014/chart" uri="{C3380CC4-5D6E-409C-BE32-E72D297353CC}">
              <c16:uniqueId val="{00000042-146E-474F-96A1-1BBFB185BCFC}"/>
            </c:ext>
          </c:extLst>
        </c:ser>
        <c:dLbls>
          <c:showLegendKey val="0"/>
          <c:showVal val="1"/>
          <c:showCatName val="0"/>
          <c:showSerName val="0"/>
          <c:showPercent val="0"/>
          <c:showBubbleSize val="0"/>
        </c:dLbls>
        <c:gapWidth val="150"/>
        <c:overlap val="100"/>
        <c:axId val="618978111"/>
        <c:axId val="618981951"/>
      </c:barChart>
      <c:catAx>
        <c:axId val="6189781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400" b="1" i="0" u="none" strike="noStrike" kern="1200" baseline="0">
                <a:solidFill>
                  <a:schemeClr val="tx1"/>
                </a:solidFill>
                <a:latin typeface="+mn-lt"/>
                <a:ea typeface="+mn-ea"/>
                <a:cs typeface="+mn-cs"/>
              </a:defRPr>
            </a:pPr>
            <a:endParaRPr lang="en-US"/>
          </a:p>
        </c:txPr>
        <c:crossAx val="618981951"/>
        <c:crosses val="autoZero"/>
        <c:auto val="1"/>
        <c:lblAlgn val="ctr"/>
        <c:lblOffset val="100"/>
        <c:noMultiLvlLbl val="0"/>
      </c:catAx>
      <c:valAx>
        <c:axId val="618981951"/>
        <c:scaling>
          <c:orientation val="minMax"/>
        </c:scaling>
        <c:delete val="0"/>
        <c:axPos val="b"/>
        <c:numFmt formatCode="#.##,,&quot;M&quot;" sourceLinked="1"/>
        <c:majorTickMark val="none"/>
        <c:minorTickMark val="none"/>
        <c:tickLblPos val="nextTo"/>
        <c:spPr>
          <a:noFill/>
          <a:ln>
            <a:noFill/>
          </a:ln>
          <a:effectLst/>
        </c:spPr>
        <c:txPr>
          <a:bodyPr rot="-60000000" spcFirstLastPara="1" vertOverflow="ellipsis" vert="horz" wrap="square" anchor="ctr" anchorCtr="1"/>
          <a:lstStyle/>
          <a:p>
            <a:pPr>
              <a:defRPr lang="en-US" sz="1100" b="1" i="0" u="none" strike="noStrike" kern="1200" baseline="0">
                <a:solidFill>
                  <a:schemeClr val="tx1"/>
                </a:solidFill>
                <a:latin typeface="+mn-lt"/>
                <a:ea typeface="+mn-ea"/>
                <a:cs typeface="+mn-cs"/>
              </a:defRPr>
            </a:pPr>
            <a:endParaRPr lang="en-US"/>
          </a:p>
        </c:txPr>
        <c:crossAx val="618978111"/>
        <c:crosses val="autoZero"/>
        <c:crossBetween val="between"/>
      </c:valAx>
    </c:plotArea>
    <c:legend>
      <c:legendPos val="t"/>
      <c:layout>
        <c:manualLayout>
          <c:xMode val="edge"/>
          <c:yMode val="edge"/>
          <c:x val="0.11822057138692722"/>
          <c:y val="0.11862034083461886"/>
          <c:w val="0.59483619815673328"/>
          <c:h val="6.3764691189632822E-2"/>
        </c:manualLayout>
      </c:layout>
      <c:overlay val="0"/>
      <c:spPr>
        <a:noFill/>
        <a:ln>
          <a:noFill/>
        </a:ln>
        <a:effectLst/>
      </c:spPr>
      <c:txPr>
        <a:bodyPr rot="0" spcFirstLastPara="1" vertOverflow="ellipsis" vert="horz" wrap="square" anchor="ctr" anchorCtr="1"/>
        <a:lstStyle/>
        <a:p>
          <a:pPr>
            <a:defRPr lang="en-US" sz="1200" b="1" i="0" u="none" strike="noStrike" kern="1200" baseline="0">
              <a:solidFill>
                <a:schemeClr val="tx1"/>
              </a:solidFill>
              <a:latin typeface="+mn-lt"/>
              <a:ea typeface="+mn-ea"/>
              <a:cs typeface="+mn-cs"/>
            </a:defRPr>
          </a:pPr>
          <a:endParaRPr lang="en-US"/>
        </a:p>
      </c:txPr>
    </c:legend>
    <c:plotVisOnly val="1"/>
    <c:dispBlanksAs val="zero"/>
    <c:showDLblsOverMax val="0"/>
    <c:extLst/>
  </c:chart>
  <c:spPr>
    <a:noFill/>
    <a:ln w="9525" cap="flat" cmpd="sng" algn="ctr">
      <a:noFill/>
      <a:round/>
    </a:ln>
    <a:effectLst>
      <a:outerShdw blurRad="50800" dist="38100" dir="2700000" algn="tl" rotWithShape="0">
        <a:prstClr val="black">
          <a:alpha val="40000"/>
        </a:prstClr>
      </a:outerShdw>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[Hospital Data.xlsx]Pivot Table!PivotTable1</c:name>
    <c:fmtId val="15"/>
  </c:pivotSource>
  <c:chart>
    <c:title>
      <c:tx>
        <c:rich>
          <a:bodyPr rot="0" spcFirstLastPara="1" vertOverflow="ellipsis" vert="horz" wrap="square" anchor="ctr" anchorCtr="1"/>
          <a:lstStyle/>
          <a:p>
            <a:pPr>
              <a:defRPr lang="en-US" sz="1400" b="0" i="0" u="none" strike="noStrike" kern="1200" spc="0" baseline="0">
                <a:solidFill>
                  <a:schemeClr val="tx1"/>
                </a:solidFill>
                <a:latin typeface="+mn-lt"/>
                <a:ea typeface="+mn-ea"/>
                <a:cs typeface="+mn-cs"/>
              </a:defRPr>
            </a:pPr>
            <a:r>
              <a:rPr lang="en-US" sz="1400" b="1"/>
              <a:t>Lab frequency by Surgical Status </a:t>
            </a:r>
          </a:p>
        </c:rich>
      </c:tx>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Table'!$B$90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Table'!$A$91:$A$93</c:f>
              <c:strCache>
                <c:ptCount val="2"/>
                <c:pt idx="0">
                  <c:v>No</c:v>
                </c:pt>
                <c:pt idx="1">
                  <c:v>Yes</c:v>
                </c:pt>
              </c:strCache>
            </c:strRef>
          </c:cat>
          <c:val>
            <c:numRef>
              <c:f>'Pivot Table'!$B$91:$B$93</c:f>
              <c:numCache>
                <c:formatCode>General</c:formatCode>
                <c:ptCount val="2"/>
                <c:pt idx="0">
                  <c:v>286</c:v>
                </c:pt>
                <c:pt idx="1">
                  <c:v>461</c:v>
                </c:pt>
              </c:numCache>
            </c:numRef>
          </c:val>
          <c:extLst>
            <c:ext xmlns:c16="http://schemas.microsoft.com/office/drawing/2014/chart" uri="{C3380CC4-5D6E-409C-BE32-E72D297353CC}">
              <c16:uniqueId val="{00000007-41B1-4BAF-9B10-D99406C6F1C6}"/>
            </c:ext>
          </c:extLst>
        </c:ser>
        <c:dLbls>
          <c:dLblPos val="outEnd"/>
          <c:showLegendKey val="0"/>
          <c:showVal val="1"/>
          <c:showCatName val="0"/>
          <c:showSerName val="0"/>
          <c:showPercent val="0"/>
          <c:showBubbleSize val="0"/>
        </c:dLbls>
        <c:gapWidth val="219"/>
        <c:overlap val="-27"/>
        <c:axId val="999280224"/>
        <c:axId val="999271584"/>
      </c:barChart>
      <c:catAx>
        <c:axId val="9992802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crossAx val="999271584"/>
        <c:crosses val="autoZero"/>
        <c:auto val="1"/>
        <c:lblAlgn val="ctr"/>
        <c:lblOffset val="100"/>
        <c:noMultiLvlLbl val="0"/>
      </c:catAx>
      <c:valAx>
        <c:axId val="99927158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999280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38100" dir="2700000" algn="tl" rotWithShape="0">
        <a:prstClr val="black">
          <a:alpha val="40000"/>
        </a:prstClr>
      </a:outerShdw>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[Hospital Data.xlsx]Pivot Table!PivotTable2</c:name>
    <c:fmtId val="21"/>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sz="1400" b="1"/>
              <a:t>Medication</a:t>
            </a:r>
            <a:r>
              <a:rPr lang="en-US" sz="1400" b="1" baseline="0"/>
              <a:t> frequency by Surgical Status</a:t>
            </a:r>
            <a:endParaRPr lang="en-US" sz="1400" b="1"/>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Table'!$B$97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Table'!$A$98:$A$99</c:f>
              <c:strCache>
                <c:ptCount val="2"/>
                <c:pt idx="0">
                  <c:v>No</c:v>
                </c:pt>
                <c:pt idx="1">
                  <c:v>Yes</c:v>
                </c:pt>
              </c:strCache>
            </c:strRef>
          </c:cat>
          <c:val>
            <c:numRef>
              <c:f>'Pivot Table'!$B$98:$B$99</c:f>
              <c:numCache>
                <c:formatCode>General</c:formatCode>
                <c:ptCount val="2"/>
                <c:pt idx="0">
                  <c:v>638</c:v>
                </c:pt>
                <c:pt idx="1">
                  <c:v>862</c:v>
                </c:pt>
              </c:numCache>
            </c:numRef>
          </c:val>
          <c:extLst>
            <c:ext xmlns:c16="http://schemas.microsoft.com/office/drawing/2014/chart" uri="{C3380CC4-5D6E-409C-BE32-E72D297353CC}">
              <c16:uniqueId val="{00000012-3539-4489-96D4-4AAE860148FF}"/>
            </c:ext>
          </c:extLst>
        </c:ser>
        <c:dLbls>
          <c:dLblPos val="outEnd"/>
          <c:showLegendKey val="0"/>
          <c:showVal val="1"/>
          <c:showCatName val="0"/>
          <c:showSerName val="0"/>
          <c:showPercent val="0"/>
          <c:showBubbleSize val="0"/>
        </c:dLbls>
        <c:gapWidth val="219"/>
        <c:overlap val="-27"/>
        <c:axId val="999293184"/>
        <c:axId val="999294144"/>
      </c:barChart>
      <c:catAx>
        <c:axId val="999293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crossAx val="999294144"/>
        <c:crosses val="autoZero"/>
        <c:auto val="1"/>
        <c:lblAlgn val="ctr"/>
        <c:lblOffset val="100"/>
        <c:noMultiLvlLbl val="0"/>
      </c:catAx>
      <c:valAx>
        <c:axId val="9992941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999293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lgn="ct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chart" Target="../charts/chart1.xml"/><Relationship Id="rId3" Type="http://schemas.openxmlformats.org/officeDocument/2006/relationships/image" Target="../media/image2.svg"/><Relationship Id="rId7" Type="http://schemas.openxmlformats.org/officeDocument/2006/relationships/hyperlink" Target="#Introduction!A1"/><Relationship Id="rId12" Type="http://schemas.openxmlformats.org/officeDocument/2006/relationships/image" Target="../media/image8.svg"/><Relationship Id="rId2" Type="http://schemas.openxmlformats.org/officeDocument/2006/relationships/image" Target="../media/image1.png"/><Relationship Id="rId16" Type="http://schemas.openxmlformats.org/officeDocument/2006/relationships/chart" Target="../charts/chart4.xml"/><Relationship Id="rId1" Type="http://schemas.openxmlformats.org/officeDocument/2006/relationships/hyperlink" Target="#Admission!A1"/><Relationship Id="rId6" Type="http://schemas.openxmlformats.org/officeDocument/2006/relationships/image" Target="../media/image4.svg"/><Relationship Id="rId11" Type="http://schemas.openxmlformats.org/officeDocument/2006/relationships/image" Target="../media/image7.png"/><Relationship Id="rId5" Type="http://schemas.openxmlformats.org/officeDocument/2006/relationships/image" Target="../media/image3.png"/><Relationship Id="rId15" Type="http://schemas.openxmlformats.org/officeDocument/2006/relationships/chart" Target="../charts/chart3.xml"/><Relationship Id="rId10" Type="http://schemas.openxmlformats.org/officeDocument/2006/relationships/hyperlink" Target="#Dataset!A1"/><Relationship Id="rId4" Type="http://schemas.openxmlformats.org/officeDocument/2006/relationships/hyperlink" Target="#Surgical!A1"/><Relationship Id="rId9" Type="http://schemas.openxmlformats.org/officeDocument/2006/relationships/image" Target="../media/image6.svg"/><Relationship Id="rId1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chart" Target="../charts/chart5.xml"/><Relationship Id="rId3" Type="http://schemas.openxmlformats.org/officeDocument/2006/relationships/image" Target="../media/image2.svg"/><Relationship Id="rId7" Type="http://schemas.openxmlformats.org/officeDocument/2006/relationships/hyperlink" Target="#Introduction!A1"/><Relationship Id="rId12" Type="http://schemas.openxmlformats.org/officeDocument/2006/relationships/image" Target="../media/image8.svg"/><Relationship Id="rId2" Type="http://schemas.openxmlformats.org/officeDocument/2006/relationships/image" Target="../media/image1.png"/><Relationship Id="rId1" Type="http://schemas.openxmlformats.org/officeDocument/2006/relationships/hyperlink" Target="#Admission!A1"/><Relationship Id="rId6" Type="http://schemas.openxmlformats.org/officeDocument/2006/relationships/image" Target="../media/image4.svg"/><Relationship Id="rId11" Type="http://schemas.openxmlformats.org/officeDocument/2006/relationships/image" Target="../media/image7.png"/><Relationship Id="rId5" Type="http://schemas.openxmlformats.org/officeDocument/2006/relationships/image" Target="../media/image3.png"/><Relationship Id="rId10" Type="http://schemas.openxmlformats.org/officeDocument/2006/relationships/hyperlink" Target="#Dataset!A1"/><Relationship Id="rId4" Type="http://schemas.openxmlformats.org/officeDocument/2006/relationships/hyperlink" Target="#Surgical!A1"/><Relationship Id="rId9" Type="http://schemas.openxmlformats.org/officeDocument/2006/relationships/image" Target="../media/image6.svg"/><Relationship Id="rId14" Type="http://schemas.openxmlformats.org/officeDocument/2006/relationships/chart" Target="../charts/chart6.xml"/></Relationships>
</file>

<file path=xl/drawings/_rels/drawing3.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chart" Target="../charts/chart7.xml"/><Relationship Id="rId3" Type="http://schemas.openxmlformats.org/officeDocument/2006/relationships/image" Target="../media/image2.svg"/><Relationship Id="rId7" Type="http://schemas.openxmlformats.org/officeDocument/2006/relationships/hyperlink" Target="#Introduction!A1"/><Relationship Id="rId12" Type="http://schemas.openxmlformats.org/officeDocument/2006/relationships/image" Target="../media/image8.svg"/><Relationship Id="rId2" Type="http://schemas.openxmlformats.org/officeDocument/2006/relationships/image" Target="../media/image1.png"/><Relationship Id="rId1" Type="http://schemas.openxmlformats.org/officeDocument/2006/relationships/hyperlink" Target="#Admission!A1"/><Relationship Id="rId6" Type="http://schemas.openxmlformats.org/officeDocument/2006/relationships/image" Target="../media/image4.svg"/><Relationship Id="rId11" Type="http://schemas.openxmlformats.org/officeDocument/2006/relationships/image" Target="../media/image7.png"/><Relationship Id="rId5" Type="http://schemas.openxmlformats.org/officeDocument/2006/relationships/image" Target="../media/image3.png"/><Relationship Id="rId10" Type="http://schemas.openxmlformats.org/officeDocument/2006/relationships/hyperlink" Target="#Dataset!A1"/><Relationship Id="rId4" Type="http://schemas.openxmlformats.org/officeDocument/2006/relationships/hyperlink" Target="#Surgical!A1"/><Relationship Id="rId9" Type="http://schemas.openxmlformats.org/officeDocument/2006/relationships/image" Target="../media/image6.svg"/></Relationships>
</file>

<file path=xl/drawings/_rels/drawing4.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chart" Target="../charts/chart8.xml"/><Relationship Id="rId3" Type="http://schemas.openxmlformats.org/officeDocument/2006/relationships/image" Target="../media/image2.svg"/><Relationship Id="rId7" Type="http://schemas.openxmlformats.org/officeDocument/2006/relationships/hyperlink" Target="#Introduction!A1"/><Relationship Id="rId12" Type="http://schemas.openxmlformats.org/officeDocument/2006/relationships/image" Target="../media/image8.svg"/><Relationship Id="rId2" Type="http://schemas.openxmlformats.org/officeDocument/2006/relationships/image" Target="../media/image1.png"/><Relationship Id="rId1" Type="http://schemas.openxmlformats.org/officeDocument/2006/relationships/hyperlink" Target="#Admission!A1"/><Relationship Id="rId6" Type="http://schemas.openxmlformats.org/officeDocument/2006/relationships/image" Target="../media/image4.svg"/><Relationship Id="rId11" Type="http://schemas.openxmlformats.org/officeDocument/2006/relationships/image" Target="../media/image7.png"/><Relationship Id="rId5" Type="http://schemas.openxmlformats.org/officeDocument/2006/relationships/image" Target="../media/image3.png"/><Relationship Id="rId10" Type="http://schemas.openxmlformats.org/officeDocument/2006/relationships/hyperlink" Target="#Dataset!A1"/><Relationship Id="rId4" Type="http://schemas.openxmlformats.org/officeDocument/2006/relationships/hyperlink" Target="#Surgical!A1"/><Relationship Id="rId9" Type="http://schemas.openxmlformats.org/officeDocument/2006/relationships/image" Target="../media/image6.svg"/><Relationship Id="rId1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394469</xdr:colOff>
      <xdr:row>27</xdr:row>
      <xdr:rowOff>163560</xdr:rowOff>
    </xdr:to>
    <xdr:sp macro="" textlink="">
      <xdr:nvSpPr>
        <xdr:cNvPr id="2" name="Rectangle: Rounded Corners 1">
          <a:extLst>
            <a:ext uri="{FF2B5EF4-FFF2-40B4-BE49-F238E27FC236}">
              <a16:creationId xmlns:a16="http://schemas.microsoft.com/office/drawing/2014/main" id="{15F36C22-8E5A-3AE6-F934-AA8EBF5A5D80}"/>
            </a:ext>
          </a:extLst>
        </xdr:cNvPr>
        <xdr:cNvSpPr/>
      </xdr:nvSpPr>
      <xdr:spPr>
        <a:xfrm>
          <a:off x="0" y="0"/>
          <a:ext cx="1606742" cy="5099242"/>
        </a:xfrm>
        <a:prstGeom prst="roundRect">
          <a:avLst>
            <a:gd name="adj" fmla="val 0"/>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solidFill>
                <a:schemeClr val="bg1"/>
              </a:solidFill>
            </a:rPr>
            <a:t>IN-PATIENT REVENUE</a:t>
          </a:r>
        </a:p>
        <a:p>
          <a:pPr algn="l"/>
          <a:r>
            <a:rPr lang="en-US" sz="2000" b="1">
              <a:solidFill>
                <a:schemeClr val="bg1"/>
              </a:solidFill>
            </a:rPr>
            <a:t>ANALYSIS</a:t>
          </a:r>
        </a:p>
        <a:p>
          <a:pPr algn="l"/>
          <a:endParaRPr lang="en-US" sz="1600" b="1">
            <a:solidFill>
              <a:schemeClr val="bg1"/>
            </a:solidFill>
          </a:endParaRPr>
        </a:p>
        <a:p>
          <a:pPr algn="l"/>
          <a:endParaRPr lang="en-US" sz="1600" b="1">
            <a:solidFill>
              <a:schemeClr val="bg1"/>
            </a:solidFill>
          </a:endParaRPr>
        </a:p>
        <a:p>
          <a:pPr algn="l"/>
          <a:endParaRPr lang="en-US" sz="1600" b="1">
            <a:solidFill>
              <a:schemeClr val="bg1"/>
            </a:solidFill>
          </a:endParaRPr>
        </a:p>
        <a:p>
          <a:pPr algn="l"/>
          <a:r>
            <a:rPr lang="en-US" sz="1100" b="1">
              <a:solidFill>
                <a:schemeClr val="bg1"/>
              </a:solidFill>
            </a:rPr>
            <a:t>Dataset</a:t>
          </a:r>
        </a:p>
        <a:p>
          <a:pPr algn="l"/>
          <a:endParaRPr lang="en-US" sz="1100" b="1">
            <a:solidFill>
              <a:schemeClr val="bg1"/>
            </a:solidFill>
          </a:endParaRPr>
        </a:p>
        <a:p>
          <a:pPr algn="l"/>
          <a:endParaRPr lang="en-US" sz="1100" b="1">
            <a:solidFill>
              <a:schemeClr val="bg1"/>
            </a:solidFill>
          </a:endParaRPr>
        </a:p>
        <a:p>
          <a:pPr algn="l"/>
          <a:endParaRPr lang="en-US" sz="1100" b="1">
            <a:solidFill>
              <a:schemeClr val="bg1"/>
            </a:solidFill>
          </a:endParaRPr>
        </a:p>
        <a:p>
          <a:pPr algn="l"/>
          <a:endParaRPr lang="en-US" sz="1100" b="1">
            <a:solidFill>
              <a:schemeClr val="bg1"/>
            </a:solidFill>
          </a:endParaRPr>
        </a:p>
        <a:p>
          <a:pPr algn="l"/>
          <a:endParaRPr lang="en-US" sz="1100" b="1">
            <a:solidFill>
              <a:schemeClr val="bg1"/>
            </a:solidFill>
          </a:endParaRPr>
        </a:p>
        <a:p>
          <a:pPr algn="l"/>
          <a:r>
            <a:rPr lang="en-US" sz="1100" b="1">
              <a:solidFill>
                <a:schemeClr val="bg1"/>
              </a:solidFill>
            </a:rPr>
            <a:t>Introduction</a:t>
          </a:r>
        </a:p>
        <a:p>
          <a:pPr algn="l"/>
          <a:endParaRPr lang="en-US" sz="1100" b="1">
            <a:solidFill>
              <a:schemeClr val="bg1"/>
            </a:solidFill>
          </a:endParaRPr>
        </a:p>
        <a:p>
          <a:pPr algn="l"/>
          <a:endParaRPr lang="en-US" sz="1100" b="1">
            <a:solidFill>
              <a:schemeClr val="bg1"/>
            </a:solidFill>
          </a:endParaRPr>
        </a:p>
        <a:p>
          <a:pPr algn="l"/>
          <a:endParaRPr lang="en-US" sz="1100" b="1">
            <a:solidFill>
              <a:schemeClr val="bg1"/>
            </a:solidFill>
          </a:endParaRPr>
        </a:p>
        <a:p>
          <a:pPr algn="l"/>
          <a:endParaRPr lang="en-US" sz="1100" b="1">
            <a:solidFill>
              <a:schemeClr val="bg1"/>
            </a:solidFill>
          </a:endParaRPr>
        </a:p>
        <a:p>
          <a:pPr algn="l"/>
          <a:endParaRPr lang="en-US" sz="1100" b="1">
            <a:solidFill>
              <a:schemeClr val="bg1"/>
            </a:solidFill>
          </a:endParaRPr>
        </a:p>
        <a:p>
          <a:pPr algn="l"/>
          <a:r>
            <a:rPr lang="en-US" sz="1100" b="1">
              <a:solidFill>
                <a:schemeClr val="bg1"/>
              </a:solidFill>
            </a:rPr>
            <a:t>Admission Analysis</a:t>
          </a:r>
        </a:p>
        <a:p>
          <a:pPr algn="l"/>
          <a:endParaRPr lang="en-US" sz="1100" b="1">
            <a:solidFill>
              <a:schemeClr val="bg1"/>
            </a:solidFill>
          </a:endParaRPr>
        </a:p>
        <a:p>
          <a:pPr algn="l"/>
          <a:endParaRPr lang="en-US" sz="1100" b="1">
            <a:solidFill>
              <a:schemeClr val="bg1"/>
            </a:solidFill>
          </a:endParaRPr>
        </a:p>
        <a:p>
          <a:pPr algn="l"/>
          <a:endParaRPr lang="en-US" sz="1100" b="1">
            <a:solidFill>
              <a:schemeClr val="bg1"/>
            </a:solidFill>
          </a:endParaRPr>
        </a:p>
        <a:p>
          <a:pPr algn="l"/>
          <a:endParaRPr lang="en-US" sz="1100" b="1">
            <a:solidFill>
              <a:schemeClr val="bg1"/>
            </a:solidFill>
          </a:endParaRPr>
        </a:p>
        <a:p>
          <a:pPr algn="l"/>
          <a:endParaRPr lang="en-US" sz="1100" b="1">
            <a:solidFill>
              <a:schemeClr val="bg1"/>
            </a:solidFill>
          </a:endParaRPr>
        </a:p>
        <a:p>
          <a:pPr algn="l"/>
          <a:r>
            <a:rPr lang="en-US" sz="1100" b="1">
              <a:solidFill>
                <a:schemeClr val="bg1"/>
              </a:solidFill>
            </a:rPr>
            <a:t>Surgical Analysis</a:t>
          </a:r>
        </a:p>
      </xdr:txBody>
    </xdr:sp>
    <xdr:clientData/>
  </xdr:twoCellAnchor>
  <xdr:twoCellAnchor editAs="oneCell">
    <xdr:from>
      <xdr:col>0</xdr:col>
      <xdr:colOff>364191</xdr:colOff>
      <xdr:row>16</xdr:row>
      <xdr:rowOff>135649</xdr:rowOff>
    </xdr:from>
    <xdr:to>
      <xdr:col>1</xdr:col>
      <xdr:colOff>398135</xdr:colOff>
      <xdr:row>20</xdr:row>
      <xdr:rowOff>25275</xdr:rowOff>
    </xdr:to>
    <xdr:pic>
      <xdr:nvPicPr>
        <xdr:cNvPr id="4" name="Graphic 3" descr="Statistics with solid fill">
          <a:hlinkClick xmlns:r="http://schemas.openxmlformats.org/officeDocument/2006/relationships" r:id="rId1"/>
          <a:extLst>
            <a:ext uri="{FF2B5EF4-FFF2-40B4-BE49-F238E27FC236}">
              <a16:creationId xmlns:a16="http://schemas.microsoft.com/office/drawing/2014/main" id="{77A4FB50-C943-2028-786F-D27BDD216DBE}"/>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364191" y="3123884"/>
          <a:ext cx="640929" cy="636685"/>
        </a:xfrm>
        <a:prstGeom prst="rect">
          <a:avLst/>
        </a:prstGeom>
      </xdr:spPr>
    </xdr:pic>
    <xdr:clientData/>
  </xdr:twoCellAnchor>
  <xdr:twoCellAnchor editAs="oneCell">
    <xdr:from>
      <xdr:col>0</xdr:col>
      <xdr:colOff>298823</xdr:colOff>
      <xdr:row>22</xdr:row>
      <xdr:rowOff>44733</xdr:rowOff>
    </xdr:from>
    <xdr:to>
      <xdr:col>1</xdr:col>
      <xdr:colOff>332767</xdr:colOff>
      <xdr:row>25</xdr:row>
      <xdr:rowOff>121973</xdr:rowOff>
    </xdr:to>
    <xdr:pic>
      <xdr:nvPicPr>
        <xdr:cNvPr id="6" name="Graphic 5" descr="Research with solid fill">
          <a:hlinkClick xmlns:r="http://schemas.openxmlformats.org/officeDocument/2006/relationships" r:id="rId4"/>
          <a:extLst>
            <a:ext uri="{FF2B5EF4-FFF2-40B4-BE49-F238E27FC236}">
              <a16:creationId xmlns:a16="http://schemas.microsoft.com/office/drawing/2014/main" id="{BB1037D8-AB85-C332-2D44-2228BDAD541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98823" y="4153557"/>
          <a:ext cx="640929" cy="637534"/>
        </a:xfrm>
        <a:prstGeom prst="rect">
          <a:avLst/>
        </a:prstGeom>
      </xdr:spPr>
    </xdr:pic>
    <xdr:clientData/>
  </xdr:twoCellAnchor>
  <xdr:twoCellAnchor editAs="oneCell">
    <xdr:from>
      <xdr:col>0</xdr:col>
      <xdr:colOff>385841</xdr:colOff>
      <xdr:row>11</xdr:row>
      <xdr:rowOff>48290</xdr:rowOff>
    </xdr:from>
    <xdr:to>
      <xdr:col>1</xdr:col>
      <xdr:colOff>419785</xdr:colOff>
      <xdr:row>14</xdr:row>
      <xdr:rowOff>125530</xdr:rowOff>
    </xdr:to>
    <xdr:pic>
      <xdr:nvPicPr>
        <xdr:cNvPr id="8" name="Graphic 7" descr="Supply And Demand with solid fill">
          <a:hlinkClick xmlns:r="http://schemas.openxmlformats.org/officeDocument/2006/relationships" r:id="rId7"/>
          <a:extLst>
            <a:ext uri="{FF2B5EF4-FFF2-40B4-BE49-F238E27FC236}">
              <a16:creationId xmlns:a16="http://schemas.microsoft.com/office/drawing/2014/main" id="{0DC56E22-73CD-17B7-57EB-CACBC635D99E}"/>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85841" y="2102702"/>
          <a:ext cx="640929" cy="637534"/>
        </a:xfrm>
        <a:prstGeom prst="rect">
          <a:avLst/>
        </a:prstGeom>
      </xdr:spPr>
    </xdr:pic>
    <xdr:clientData/>
  </xdr:twoCellAnchor>
  <xdr:twoCellAnchor editAs="oneCell">
    <xdr:from>
      <xdr:col>0</xdr:col>
      <xdr:colOff>410882</xdr:colOff>
      <xdr:row>6</xdr:row>
      <xdr:rowOff>1</xdr:rowOff>
    </xdr:from>
    <xdr:to>
      <xdr:col>1</xdr:col>
      <xdr:colOff>446960</xdr:colOff>
      <xdr:row>9</xdr:row>
      <xdr:rowOff>79787</xdr:rowOff>
    </xdr:to>
    <xdr:pic>
      <xdr:nvPicPr>
        <xdr:cNvPr id="10" name="Graphic 9" descr="Table with solid fill">
          <a:hlinkClick xmlns:r="http://schemas.openxmlformats.org/officeDocument/2006/relationships" r:id="rId10"/>
          <a:extLst>
            <a:ext uri="{FF2B5EF4-FFF2-40B4-BE49-F238E27FC236}">
              <a16:creationId xmlns:a16="http://schemas.microsoft.com/office/drawing/2014/main" id="{CCCEFA90-E6DB-DE5E-1D01-39562B3666D9}"/>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410882" y="1120589"/>
          <a:ext cx="643063" cy="640080"/>
        </a:xfrm>
        <a:prstGeom prst="rect">
          <a:avLst/>
        </a:prstGeom>
      </xdr:spPr>
    </xdr:pic>
    <xdr:clientData/>
  </xdr:twoCellAnchor>
  <xdr:twoCellAnchor>
    <xdr:from>
      <xdr:col>2</xdr:col>
      <xdr:colOff>507103</xdr:colOff>
      <xdr:row>0</xdr:row>
      <xdr:rowOff>84045</xdr:rowOff>
    </xdr:from>
    <xdr:to>
      <xdr:col>6</xdr:col>
      <xdr:colOff>349203</xdr:colOff>
      <xdr:row>5</xdr:row>
      <xdr:rowOff>84045</xdr:rowOff>
    </xdr:to>
    <xdr:sp macro="" textlink="">
      <xdr:nvSpPr>
        <xdr:cNvPr id="11" name="Rectangle: Rounded Corners 10">
          <a:extLst>
            <a:ext uri="{FF2B5EF4-FFF2-40B4-BE49-F238E27FC236}">
              <a16:creationId xmlns:a16="http://schemas.microsoft.com/office/drawing/2014/main" id="{8931F104-4F3F-B0C3-3F83-F4093096F703}"/>
            </a:ext>
          </a:extLst>
        </xdr:cNvPr>
        <xdr:cNvSpPr/>
      </xdr:nvSpPr>
      <xdr:spPr>
        <a:xfrm>
          <a:off x="1719376" y="84045"/>
          <a:ext cx="2266645" cy="914015"/>
        </a:xfrm>
        <a:prstGeom prst="roundRect">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solidFill>
                <a:schemeClr val="bg1"/>
              </a:solidFill>
            </a:rPr>
            <a:t>Total Revenue</a:t>
          </a:r>
          <a:endParaRPr lang="en-US" sz="2000" b="1" baseline="0">
            <a:solidFill>
              <a:schemeClr val="bg1"/>
            </a:solidFill>
          </a:endParaRPr>
        </a:p>
        <a:p>
          <a:pPr algn="l"/>
          <a:endParaRPr lang="en-US" sz="2000" b="1">
            <a:solidFill>
              <a:schemeClr val="bg1"/>
            </a:solidFill>
          </a:endParaRPr>
        </a:p>
      </xdr:txBody>
    </xdr:sp>
    <xdr:clientData/>
  </xdr:twoCellAnchor>
  <xdr:twoCellAnchor>
    <xdr:from>
      <xdr:col>11</xdr:col>
      <xdr:colOff>235185</xdr:colOff>
      <xdr:row>0</xdr:row>
      <xdr:rowOff>77695</xdr:rowOff>
    </xdr:from>
    <xdr:to>
      <xdr:col>15</xdr:col>
      <xdr:colOff>76436</xdr:colOff>
      <xdr:row>5</xdr:row>
      <xdr:rowOff>77695</xdr:rowOff>
    </xdr:to>
    <xdr:sp macro="" textlink="">
      <xdr:nvSpPr>
        <xdr:cNvPr id="12" name="Rectangle: Rounded Corners 11">
          <a:extLst>
            <a:ext uri="{FF2B5EF4-FFF2-40B4-BE49-F238E27FC236}">
              <a16:creationId xmlns:a16="http://schemas.microsoft.com/office/drawing/2014/main" id="{5BFC7223-75BD-4BBC-B943-2D197D4CDCD0}"/>
            </a:ext>
          </a:extLst>
        </xdr:cNvPr>
        <xdr:cNvSpPr/>
      </xdr:nvSpPr>
      <xdr:spPr>
        <a:xfrm>
          <a:off x="6902685" y="77695"/>
          <a:ext cx="2265796" cy="914015"/>
        </a:xfrm>
        <a:prstGeom prst="roundRect">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solidFill>
                <a:schemeClr val="bg1"/>
              </a:solidFill>
            </a:rPr>
            <a:t>Patient</a:t>
          </a:r>
          <a:r>
            <a:rPr lang="en-US" sz="2000" b="1" baseline="0">
              <a:solidFill>
                <a:schemeClr val="bg1"/>
              </a:solidFill>
            </a:rPr>
            <a:t> Count</a:t>
          </a:r>
        </a:p>
        <a:p>
          <a:pPr algn="l"/>
          <a:endParaRPr lang="en-US" sz="2000" b="1">
            <a:solidFill>
              <a:schemeClr val="bg1"/>
            </a:solidFill>
          </a:endParaRPr>
        </a:p>
      </xdr:txBody>
    </xdr:sp>
    <xdr:clientData/>
  </xdr:twoCellAnchor>
  <xdr:twoCellAnchor>
    <xdr:from>
      <xdr:col>7</xdr:col>
      <xdr:colOff>68500</xdr:colOff>
      <xdr:row>0</xdr:row>
      <xdr:rowOff>52668</xdr:rowOff>
    </xdr:from>
    <xdr:to>
      <xdr:col>10</xdr:col>
      <xdr:colOff>515887</xdr:colOff>
      <xdr:row>5</xdr:row>
      <xdr:rowOff>52668</xdr:rowOff>
    </xdr:to>
    <xdr:sp macro="" textlink="">
      <xdr:nvSpPr>
        <xdr:cNvPr id="13" name="Rectangle: Rounded Corners 12">
          <a:extLst>
            <a:ext uri="{FF2B5EF4-FFF2-40B4-BE49-F238E27FC236}">
              <a16:creationId xmlns:a16="http://schemas.microsoft.com/office/drawing/2014/main" id="{D45F5D9E-5332-4F9F-9B05-4172F7C97A8C}"/>
            </a:ext>
          </a:extLst>
        </xdr:cNvPr>
        <xdr:cNvSpPr/>
      </xdr:nvSpPr>
      <xdr:spPr>
        <a:xfrm>
          <a:off x="4311455" y="52668"/>
          <a:ext cx="2265796" cy="914015"/>
        </a:xfrm>
        <a:prstGeom prst="roundRect">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t>Surgical</a:t>
          </a:r>
          <a:r>
            <a:rPr lang="en-US" sz="2000" b="1" baseline="0"/>
            <a:t> Revenue</a:t>
          </a:r>
          <a:endParaRPr lang="en-US" sz="2000" b="1"/>
        </a:p>
      </xdr:txBody>
    </xdr:sp>
    <xdr:clientData/>
  </xdr:twoCellAnchor>
  <xdr:twoCellAnchor>
    <xdr:from>
      <xdr:col>13</xdr:col>
      <xdr:colOff>219747</xdr:colOff>
      <xdr:row>5</xdr:row>
      <xdr:rowOff>172634</xdr:rowOff>
    </xdr:from>
    <xdr:to>
      <xdr:col>19</xdr:col>
      <xdr:colOff>288509</xdr:colOff>
      <xdr:row>28</xdr:row>
      <xdr:rowOff>10285</xdr:rowOff>
    </xdr:to>
    <xdr:graphicFrame macro="">
      <xdr:nvGraphicFramePr>
        <xdr:cNvPr id="16" name="Chart 15">
          <a:extLst>
            <a:ext uri="{FF2B5EF4-FFF2-40B4-BE49-F238E27FC236}">
              <a16:creationId xmlns:a16="http://schemas.microsoft.com/office/drawing/2014/main" id="{A9CBE3EA-0207-4863-AAE5-7C2D7DB905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7</xdr:col>
      <xdr:colOff>426638</xdr:colOff>
      <xdr:row>5</xdr:row>
      <xdr:rowOff>183018</xdr:rowOff>
    </xdr:from>
    <xdr:to>
      <xdr:col>13</xdr:col>
      <xdr:colOff>66690</xdr:colOff>
      <xdr:row>28</xdr:row>
      <xdr:rowOff>11613</xdr:rowOff>
    </xdr:to>
    <xdr:graphicFrame macro="">
      <xdr:nvGraphicFramePr>
        <xdr:cNvPr id="17" name="Chart 16">
          <a:extLst>
            <a:ext uri="{FF2B5EF4-FFF2-40B4-BE49-F238E27FC236}">
              <a16:creationId xmlns:a16="http://schemas.microsoft.com/office/drawing/2014/main" id="{8AC9414E-EF13-4D58-9BEB-C1B4663DD3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15</xdr:col>
      <xdr:colOff>390923</xdr:colOff>
      <xdr:row>0</xdr:row>
      <xdr:rowOff>71345</xdr:rowOff>
    </xdr:from>
    <xdr:to>
      <xdr:col>19</xdr:col>
      <xdr:colOff>232173</xdr:colOff>
      <xdr:row>5</xdr:row>
      <xdr:rowOff>71345</xdr:rowOff>
    </xdr:to>
    <xdr:sp macro="" textlink="">
      <xdr:nvSpPr>
        <xdr:cNvPr id="18" name="Rectangle: Rounded Corners 17">
          <a:extLst>
            <a:ext uri="{FF2B5EF4-FFF2-40B4-BE49-F238E27FC236}">
              <a16:creationId xmlns:a16="http://schemas.microsoft.com/office/drawing/2014/main" id="{4EA69C0E-EFEB-4339-8814-C7B6BF07E82B}"/>
            </a:ext>
          </a:extLst>
        </xdr:cNvPr>
        <xdr:cNvSpPr/>
      </xdr:nvSpPr>
      <xdr:spPr>
        <a:xfrm>
          <a:off x="9587475" y="71345"/>
          <a:ext cx="2293664" cy="930603"/>
        </a:xfrm>
        <a:prstGeom prst="roundRect">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solidFill>
                <a:schemeClr val="bg1"/>
              </a:solidFill>
            </a:rPr>
            <a:t>% Revenue</a:t>
          </a:r>
          <a:r>
            <a:rPr lang="en-US" sz="2000" b="1" baseline="0">
              <a:solidFill>
                <a:schemeClr val="bg1"/>
              </a:solidFill>
            </a:rPr>
            <a:t> Ratio</a:t>
          </a:r>
          <a:endParaRPr lang="en-US" sz="2000" b="1">
            <a:solidFill>
              <a:schemeClr val="bg1"/>
            </a:solidFill>
          </a:endParaRPr>
        </a:p>
      </xdr:txBody>
    </xdr:sp>
    <xdr:clientData/>
  </xdr:twoCellAnchor>
  <xdr:twoCellAnchor>
    <xdr:from>
      <xdr:col>2</xdr:col>
      <xdr:colOff>416034</xdr:colOff>
      <xdr:row>19</xdr:row>
      <xdr:rowOff>10948</xdr:rowOff>
    </xdr:from>
    <xdr:to>
      <xdr:col>7</xdr:col>
      <xdr:colOff>394138</xdr:colOff>
      <xdr:row>28</xdr:row>
      <xdr:rowOff>10949</xdr:rowOff>
    </xdr:to>
    <xdr:graphicFrame macro="">
      <xdr:nvGraphicFramePr>
        <xdr:cNvPr id="3" name="Chart 2">
          <a:extLst>
            <a:ext uri="{FF2B5EF4-FFF2-40B4-BE49-F238E27FC236}">
              <a16:creationId xmlns:a16="http://schemas.microsoft.com/office/drawing/2014/main" id="{729A171B-181F-45D0-93AF-535415415F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xdr:col>
      <xdr:colOff>578071</xdr:colOff>
      <xdr:row>2</xdr:row>
      <xdr:rowOff>127001</xdr:rowOff>
    </xdr:from>
    <xdr:to>
      <xdr:col>5</xdr:col>
      <xdr:colOff>599239</xdr:colOff>
      <xdr:row>5</xdr:row>
      <xdr:rowOff>10584</xdr:rowOff>
    </xdr:to>
    <xdr:sp macro="" textlink="'Pivot Table'!D3">
      <xdr:nvSpPr>
        <xdr:cNvPr id="9" name="TextBox 8">
          <a:extLst>
            <a:ext uri="{FF2B5EF4-FFF2-40B4-BE49-F238E27FC236}">
              <a16:creationId xmlns:a16="http://schemas.microsoft.com/office/drawing/2014/main" id="{81176A43-F5B3-5D73-59E4-69BA432725FE}"/>
            </a:ext>
          </a:extLst>
        </xdr:cNvPr>
        <xdr:cNvSpPr txBox="1"/>
      </xdr:nvSpPr>
      <xdr:spPr>
        <a:xfrm>
          <a:off x="1804278" y="499242"/>
          <a:ext cx="1860478" cy="4419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A5990B5-586E-4CCE-8A77-9EDD79B1C6F2}" type="TxLink">
            <a:rPr lang="en-US" sz="2400" b="1" i="0" u="none" strike="noStrike">
              <a:solidFill>
                <a:schemeClr val="bg1"/>
              </a:solidFill>
              <a:latin typeface="Aptos Narrow"/>
            </a:rPr>
            <a:pPr/>
            <a:t>₦104,993,332</a:t>
          </a:fld>
          <a:endParaRPr lang="en-US" sz="5400" b="1">
            <a:solidFill>
              <a:schemeClr val="bg1"/>
            </a:solidFill>
          </a:endParaRPr>
        </a:p>
      </xdr:txBody>
    </xdr:sp>
    <xdr:clientData/>
  </xdr:twoCellAnchor>
  <xdr:twoCellAnchor>
    <xdr:from>
      <xdr:col>7</xdr:col>
      <xdr:colOff>143448</xdr:colOff>
      <xdr:row>2</xdr:row>
      <xdr:rowOff>95001</xdr:rowOff>
    </xdr:from>
    <xdr:to>
      <xdr:col>10</xdr:col>
      <xdr:colOff>164615</xdr:colOff>
      <xdr:row>4</xdr:row>
      <xdr:rowOff>158500</xdr:rowOff>
    </xdr:to>
    <xdr:sp macro="" textlink="'Pivot Table'!B3">
      <xdr:nvSpPr>
        <xdr:cNvPr id="14" name="TextBox 13">
          <a:extLst>
            <a:ext uri="{FF2B5EF4-FFF2-40B4-BE49-F238E27FC236}">
              <a16:creationId xmlns:a16="http://schemas.microsoft.com/office/drawing/2014/main" id="{C6E8CFAF-648B-453B-A23E-F37C7360CF0B}"/>
            </a:ext>
          </a:extLst>
        </xdr:cNvPr>
        <xdr:cNvSpPr txBox="1"/>
      </xdr:nvSpPr>
      <xdr:spPr>
        <a:xfrm>
          <a:off x="4435172" y="467242"/>
          <a:ext cx="1860477" cy="4357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3C604A7-810A-4DB7-98A1-5969E8D9BAB8}" type="TxLink">
            <a:rPr lang="en-US" sz="2400" b="1" i="0" u="none" strike="noStrike">
              <a:solidFill>
                <a:schemeClr val="bg1"/>
              </a:solidFill>
              <a:latin typeface="Aptos Narrow"/>
            </a:rPr>
            <a:pPr/>
            <a:t>₦58,888,000</a:t>
          </a:fld>
          <a:endParaRPr lang="en-US" sz="9600" b="1">
            <a:solidFill>
              <a:schemeClr val="bg1"/>
            </a:solidFill>
          </a:endParaRPr>
        </a:p>
      </xdr:txBody>
    </xdr:sp>
    <xdr:clientData/>
  </xdr:twoCellAnchor>
  <xdr:twoCellAnchor>
    <xdr:from>
      <xdr:col>11</xdr:col>
      <xdr:colOff>293243</xdr:colOff>
      <xdr:row>2</xdr:row>
      <xdr:rowOff>98862</xdr:rowOff>
    </xdr:from>
    <xdr:to>
      <xdr:col>14</xdr:col>
      <xdr:colOff>314410</xdr:colOff>
      <xdr:row>4</xdr:row>
      <xdr:rowOff>162361</xdr:rowOff>
    </xdr:to>
    <xdr:sp macro="" textlink="'Pivot Table'!A3">
      <xdr:nvSpPr>
        <xdr:cNvPr id="19" name="TextBox 18">
          <a:extLst>
            <a:ext uri="{FF2B5EF4-FFF2-40B4-BE49-F238E27FC236}">
              <a16:creationId xmlns:a16="http://schemas.microsoft.com/office/drawing/2014/main" id="{9D104D03-8023-4BF1-A308-1B4309CFB9C0}"/>
            </a:ext>
          </a:extLst>
        </xdr:cNvPr>
        <xdr:cNvSpPr txBox="1"/>
      </xdr:nvSpPr>
      <xdr:spPr>
        <a:xfrm>
          <a:off x="7037381" y="471103"/>
          <a:ext cx="1860477" cy="4357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9CE7923-6009-440F-998B-4AC60B336F40}" type="TxLink">
            <a:rPr lang="en-US" sz="2400" b="1" i="0" u="none" strike="noStrike">
              <a:solidFill>
                <a:schemeClr val="bg1"/>
              </a:solidFill>
              <a:latin typeface="Aptos Narrow"/>
            </a:rPr>
            <a:pPr/>
            <a:t>300</a:t>
          </a:fld>
          <a:endParaRPr lang="en-US" sz="28700" b="1">
            <a:solidFill>
              <a:schemeClr val="bg1"/>
            </a:solidFill>
          </a:endParaRPr>
        </a:p>
      </xdr:txBody>
    </xdr:sp>
    <xdr:clientData/>
  </xdr:twoCellAnchor>
  <xdr:twoCellAnchor>
    <xdr:from>
      <xdr:col>15</xdr:col>
      <xdr:colOff>430630</xdr:colOff>
      <xdr:row>2</xdr:row>
      <xdr:rowOff>156012</xdr:rowOff>
    </xdr:from>
    <xdr:to>
      <xdr:col>18</xdr:col>
      <xdr:colOff>451798</xdr:colOff>
      <xdr:row>5</xdr:row>
      <xdr:rowOff>39595</xdr:rowOff>
    </xdr:to>
    <xdr:sp macro="" textlink="'Pivot Table'!E3">
      <xdr:nvSpPr>
        <xdr:cNvPr id="20" name="TextBox 19">
          <a:extLst>
            <a:ext uri="{FF2B5EF4-FFF2-40B4-BE49-F238E27FC236}">
              <a16:creationId xmlns:a16="http://schemas.microsoft.com/office/drawing/2014/main" id="{D212CC74-3236-4BC3-8538-D6942CC79645}"/>
            </a:ext>
          </a:extLst>
        </xdr:cNvPr>
        <xdr:cNvSpPr txBox="1"/>
      </xdr:nvSpPr>
      <xdr:spPr>
        <a:xfrm>
          <a:off x="9627182" y="528253"/>
          <a:ext cx="1860478" cy="4419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AC6E664-4C70-4BC2-B3B7-12DC6200E82B}" type="TxLink">
            <a:rPr lang="en-US" sz="2400" b="1" i="0" u="none" strike="noStrike">
              <a:solidFill>
                <a:schemeClr val="bg1"/>
              </a:solidFill>
              <a:latin typeface="Aptos Narrow"/>
            </a:rPr>
            <a:pPr/>
            <a:t> 56.09 </a:t>
          </a:fld>
          <a:endParaRPr lang="en-US" sz="28700" b="1">
            <a:solidFill>
              <a:schemeClr val="bg1"/>
            </a:solidFill>
          </a:endParaRPr>
        </a:p>
      </xdr:txBody>
    </xdr:sp>
    <xdr:clientData/>
  </xdr:twoCellAnchor>
  <xdr:twoCellAnchor>
    <xdr:from>
      <xdr:col>2</xdr:col>
      <xdr:colOff>453857</xdr:colOff>
      <xdr:row>5</xdr:row>
      <xdr:rowOff>120431</xdr:rowOff>
    </xdr:from>
    <xdr:to>
      <xdr:col>7</xdr:col>
      <xdr:colOff>350345</xdr:colOff>
      <xdr:row>18</xdr:row>
      <xdr:rowOff>109483</xdr:rowOff>
    </xdr:to>
    <xdr:graphicFrame macro="">
      <xdr:nvGraphicFramePr>
        <xdr:cNvPr id="5" name="Chart 4">
          <a:extLst>
            <a:ext uri="{FF2B5EF4-FFF2-40B4-BE49-F238E27FC236}">
              <a16:creationId xmlns:a16="http://schemas.microsoft.com/office/drawing/2014/main" id="{E943FFF3-0684-4D20-A62E-EB2513DCA5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xdr:colOff>
      <xdr:row>0</xdr:row>
      <xdr:rowOff>1</xdr:rowOff>
    </xdr:from>
    <xdr:to>
      <xdr:col>2</xdr:col>
      <xdr:colOff>312461</xdr:colOff>
      <xdr:row>28</xdr:row>
      <xdr:rowOff>90715</xdr:rowOff>
    </xdr:to>
    <xdr:sp macro="" textlink="">
      <xdr:nvSpPr>
        <xdr:cNvPr id="13" name="Rectangle: Rounded Corners 12">
          <a:extLst>
            <a:ext uri="{FF2B5EF4-FFF2-40B4-BE49-F238E27FC236}">
              <a16:creationId xmlns:a16="http://schemas.microsoft.com/office/drawing/2014/main" id="{3CAC7D32-EA8E-4A1F-81E9-00B6B21E7972}"/>
            </a:ext>
          </a:extLst>
        </xdr:cNvPr>
        <xdr:cNvSpPr/>
      </xdr:nvSpPr>
      <xdr:spPr>
        <a:xfrm>
          <a:off x="1" y="1"/>
          <a:ext cx="1521984" cy="5170714"/>
        </a:xfrm>
        <a:prstGeom prst="roundRect">
          <a:avLst>
            <a:gd name="adj" fmla="val 0"/>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solidFill>
                <a:schemeClr val="bg1"/>
              </a:solidFill>
            </a:rPr>
            <a:t>IN-PATIENT REVENUE</a:t>
          </a:r>
        </a:p>
        <a:p>
          <a:pPr algn="l"/>
          <a:r>
            <a:rPr lang="en-US" sz="2000" b="1">
              <a:solidFill>
                <a:schemeClr val="bg1"/>
              </a:solidFill>
            </a:rPr>
            <a:t>ANALYSIS</a:t>
          </a:r>
        </a:p>
        <a:p>
          <a:pPr algn="l"/>
          <a:endParaRPr lang="en-US" sz="1600" b="1">
            <a:solidFill>
              <a:schemeClr val="bg1"/>
            </a:solidFill>
          </a:endParaRPr>
        </a:p>
        <a:p>
          <a:pPr algn="l"/>
          <a:endParaRPr lang="en-US" sz="1600" b="1">
            <a:solidFill>
              <a:schemeClr val="bg1"/>
            </a:solidFill>
          </a:endParaRPr>
        </a:p>
        <a:p>
          <a:pPr algn="l"/>
          <a:endParaRPr lang="en-US" sz="1600" b="1">
            <a:solidFill>
              <a:schemeClr val="bg1"/>
            </a:solidFill>
          </a:endParaRPr>
        </a:p>
        <a:p>
          <a:pPr algn="l"/>
          <a:r>
            <a:rPr lang="en-US" sz="1100" b="1">
              <a:solidFill>
                <a:schemeClr val="bg1"/>
              </a:solidFill>
            </a:rPr>
            <a:t>Table</a:t>
          </a:r>
        </a:p>
        <a:p>
          <a:pPr algn="l"/>
          <a:endParaRPr lang="en-US" sz="1100" b="1">
            <a:solidFill>
              <a:schemeClr val="bg1"/>
            </a:solidFill>
          </a:endParaRPr>
        </a:p>
        <a:p>
          <a:pPr algn="l"/>
          <a:endParaRPr lang="en-US" sz="1100" b="1">
            <a:solidFill>
              <a:schemeClr val="bg1"/>
            </a:solidFill>
          </a:endParaRPr>
        </a:p>
        <a:p>
          <a:pPr algn="l"/>
          <a:endParaRPr lang="en-US" sz="1100" b="1">
            <a:solidFill>
              <a:schemeClr val="bg1"/>
            </a:solidFill>
          </a:endParaRPr>
        </a:p>
        <a:p>
          <a:pPr algn="l"/>
          <a:endParaRPr lang="en-US" sz="1100" b="1">
            <a:solidFill>
              <a:schemeClr val="bg1"/>
            </a:solidFill>
          </a:endParaRPr>
        </a:p>
        <a:p>
          <a:pPr algn="l"/>
          <a:endParaRPr lang="en-US" sz="1100" b="1">
            <a:solidFill>
              <a:schemeClr val="bg1"/>
            </a:solidFill>
          </a:endParaRPr>
        </a:p>
        <a:p>
          <a:pPr algn="l"/>
          <a:r>
            <a:rPr lang="en-US" sz="1100" b="1">
              <a:solidFill>
                <a:schemeClr val="bg1"/>
              </a:solidFill>
            </a:rPr>
            <a:t>Introduction</a:t>
          </a:r>
        </a:p>
        <a:p>
          <a:pPr algn="l"/>
          <a:endParaRPr lang="en-US" sz="1100" b="1">
            <a:solidFill>
              <a:schemeClr val="bg1"/>
            </a:solidFill>
          </a:endParaRPr>
        </a:p>
        <a:p>
          <a:pPr algn="l"/>
          <a:endParaRPr lang="en-US" sz="1100" b="1">
            <a:solidFill>
              <a:schemeClr val="bg1"/>
            </a:solidFill>
          </a:endParaRPr>
        </a:p>
        <a:p>
          <a:pPr algn="l"/>
          <a:endParaRPr lang="en-US" sz="1100" b="1">
            <a:solidFill>
              <a:schemeClr val="bg1"/>
            </a:solidFill>
          </a:endParaRPr>
        </a:p>
        <a:p>
          <a:pPr algn="l"/>
          <a:endParaRPr lang="en-US" sz="1100" b="1">
            <a:solidFill>
              <a:schemeClr val="bg1"/>
            </a:solidFill>
          </a:endParaRPr>
        </a:p>
        <a:p>
          <a:pPr algn="l"/>
          <a:endParaRPr lang="en-US" sz="1100" b="1">
            <a:solidFill>
              <a:schemeClr val="bg1"/>
            </a:solidFill>
          </a:endParaRPr>
        </a:p>
        <a:p>
          <a:pPr algn="l"/>
          <a:r>
            <a:rPr lang="en-US" sz="1100" b="1">
              <a:solidFill>
                <a:schemeClr val="bg1"/>
              </a:solidFill>
            </a:rPr>
            <a:t>Admission Analysis</a:t>
          </a:r>
        </a:p>
        <a:p>
          <a:pPr algn="l"/>
          <a:endParaRPr lang="en-US" sz="1100" b="1">
            <a:solidFill>
              <a:schemeClr val="bg1"/>
            </a:solidFill>
          </a:endParaRPr>
        </a:p>
        <a:p>
          <a:pPr algn="l"/>
          <a:endParaRPr lang="en-US" sz="1100" b="1">
            <a:solidFill>
              <a:schemeClr val="bg1"/>
            </a:solidFill>
          </a:endParaRPr>
        </a:p>
        <a:p>
          <a:pPr algn="l"/>
          <a:endParaRPr lang="en-US" sz="1100" b="1">
            <a:solidFill>
              <a:schemeClr val="bg1"/>
            </a:solidFill>
          </a:endParaRPr>
        </a:p>
        <a:p>
          <a:pPr algn="l"/>
          <a:endParaRPr lang="en-US" sz="1100" b="1">
            <a:solidFill>
              <a:schemeClr val="bg1"/>
            </a:solidFill>
          </a:endParaRPr>
        </a:p>
        <a:p>
          <a:pPr algn="l"/>
          <a:endParaRPr lang="en-US" sz="1100" b="1">
            <a:solidFill>
              <a:schemeClr val="bg1"/>
            </a:solidFill>
          </a:endParaRPr>
        </a:p>
        <a:p>
          <a:pPr algn="l"/>
          <a:r>
            <a:rPr lang="en-US" sz="1100" b="1">
              <a:solidFill>
                <a:schemeClr val="bg1"/>
              </a:solidFill>
            </a:rPr>
            <a:t>Surgical Analysis</a:t>
          </a:r>
        </a:p>
      </xdr:txBody>
    </xdr:sp>
    <xdr:clientData/>
  </xdr:twoCellAnchor>
  <xdr:twoCellAnchor editAs="oneCell">
    <xdr:from>
      <xdr:col>0</xdr:col>
      <xdr:colOff>344037</xdr:colOff>
      <xdr:row>17</xdr:row>
      <xdr:rowOff>34856</xdr:rowOff>
    </xdr:from>
    <xdr:to>
      <xdr:col>1</xdr:col>
      <xdr:colOff>377981</xdr:colOff>
      <xdr:row>20</xdr:row>
      <xdr:rowOff>105911</xdr:rowOff>
    </xdr:to>
    <xdr:pic>
      <xdr:nvPicPr>
        <xdr:cNvPr id="14" name="Graphic 13" descr="Statistics with solid fill">
          <a:hlinkClick xmlns:r="http://schemas.openxmlformats.org/officeDocument/2006/relationships" r:id="rId1"/>
          <a:extLst>
            <a:ext uri="{FF2B5EF4-FFF2-40B4-BE49-F238E27FC236}">
              <a16:creationId xmlns:a16="http://schemas.microsoft.com/office/drawing/2014/main" id="{5DFE5820-075A-4FB2-B288-A66E189AB7F6}"/>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344037" y="3119142"/>
          <a:ext cx="638706" cy="615340"/>
        </a:xfrm>
        <a:prstGeom prst="rect">
          <a:avLst/>
        </a:prstGeom>
      </xdr:spPr>
    </xdr:pic>
    <xdr:clientData/>
  </xdr:twoCellAnchor>
  <xdr:twoCellAnchor editAs="oneCell">
    <xdr:from>
      <xdr:col>0</xdr:col>
      <xdr:colOff>318986</xdr:colOff>
      <xdr:row>22</xdr:row>
      <xdr:rowOff>145527</xdr:rowOff>
    </xdr:from>
    <xdr:to>
      <xdr:col>1</xdr:col>
      <xdr:colOff>352930</xdr:colOff>
      <xdr:row>26</xdr:row>
      <xdr:rowOff>41338</xdr:rowOff>
    </xdr:to>
    <xdr:pic>
      <xdr:nvPicPr>
        <xdr:cNvPr id="15" name="Graphic 14" descr="Research with solid fill">
          <a:hlinkClick xmlns:r="http://schemas.openxmlformats.org/officeDocument/2006/relationships" r:id="rId4"/>
          <a:extLst>
            <a:ext uri="{FF2B5EF4-FFF2-40B4-BE49-F238E27FC236}">
              <a16:creationId xmlns:a16="http://schemas.microsoft.com/office/drawing/2014/main" id="{E7727BFF-B24D-47FC-A75F-5DE8C49A998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18986" y="4136956"/>
          <a:ext cx="638706" cy="621525"/>
        </a:xfrm>
        <a:prstGeom prst="rect">
          <a:avLst/>
        </a:prstGeom>
      </xdr:spPr>
    </xdr:pic>
    <xdr:clientData/>
  </xdr:twoCellAnchor>
  <xdr:twoCellAnchor editAs="oneCell">
    <xdr:from>
      <xdr:col>0</xdr:col>
      <xdr:colOff>365687</xdr:colOff>
      <xdr:row>11</xdr:row>
      <xdr:rowOff>58370</xdr:rowOff>
    </xdr:from>
    <xdr:to>
      <xdr:col>1</xdr:col>
      <xdr:colOff>399631</xdr:colOff>
      <xdr:row>14</xdr:row>
      <xdr:rowOff>135610</xdr:rowOff>
    </xdr:to>
    <xdr:pic>
      <xdr:nvPicPr>
        <xdr:cNvPr id="16" name="Graphic 15" descr="Supply And Demand with solid fill">
          <a:hlinkClick xmlns:r="http://schemas.openxmlformats.org/officeDocument/2006/relationships" r:id="rId7"/>
          <a:extLst>
            <a:ext uri="{FF2B5EF4-FFF2-40B4-BE49-F238E27FC236}">
              <a16:creationId xmlns:a16="http://schemas.microsoft.com/office/drawing/2014/main" id="{B5CC15CA-A71B-4E8C-BD8A-04881652C775}"/>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65687" y="2054084"/>
          <a:ext cx="638706" cy="621526"/>
        </a:xfrm>
        <a:prstGeom prst="rect">
          <a:avLst/>
        </a:prstGeom>
      </xdr:spPr>
    </xdr:pic>
    <xdr:clientData/>
  </xdr:twoCellAnchor>
  <xdr:twoCellAnchor editAs="oneCell">
    <xdr:from>
      <xdr:col>0</xdr:col>
      <xdr:colOff>420961</xdr:colOff>
      <xdr:row>6</xdr:row>
      <xdr:rowOff>90712</xdr:rowOff>
    </xdr:from>
    <xdr:to>
      <xdr:col>1</xdr:col>
      <xdr:colOff>457039</xdr:colOff>
      <xdr:row>9</xdr:row>
      <xdr:rowOff>170498</xdr:rowOff>
    </xdr:to>
    <xdr:pic>
      <xdr:nvPicPr>
        <xdr:cNvPr id="17" name="Graphic 16" descr="Table with solid fill">
          <a:hlinkClick xmlns:r="http://schemas.openxmlformats.org/officeDocument/2006/relationships" r:id="rId10"/>
          <a:extLst>
            <a:ext uri="{FF2B5EF4-FFF2-40B4-BE49-F238E27FC236}">
              <a16:creationId xmlns:a16="http://schemas.microsoft.com/office/drawing/2014/main" id="{9A82DC7D-AD60-4A06-AF54-FE44C4AE6F41}"/>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420961" y="1179283"/>
          <a:ext cx="640840" cy="624072"/>
        </a:xfrm>
        <a:prstGeom prst="rect">
          <a:avLst/>
        </a:prstGeom>
      </xdr:spPr>
    </xdr:pic>
    <xdr:clientData/>
  </xdr:twoCellAnchor>
  <xdr:twoCellAnchor>
    <xdr:from>
      <xdr:col>2</xdr:col>
      <xdr:colOff>466329</xdr:colOff>
      <xdr:row>0</xdr:row>
      <xdr:rowOff>84045</xdr:rowOff>
    </xdr:from>
    <xdr:to>
      <xdr:col>6</xdr:col>
      <xdr:colOff>309803</xdr:colOff>
      <xdr:row>5</xdr:row>
      <xdr:rowOff>84045</xdr:rowOff>
    </xdr:to>
    <xdr:sp macro="" textlink="">
      <xdr:nvSpPr>
        <xdr:cNvPr id="32" name="Rectangle: Rounded Corners 31">
          <a:extLst>
            <a:ext uri="{FF2B5EF4-FFF2-40B4-BE49-F238E27FC236}">
              <a16:creationId xmlns:a16="http://schemas.microsoft.com/office/drawing/2014/main" id="{E8799EC1-82A8-4A42-A032-E5542C604E93}"/>
            </a:ext>
          </a:extLst>
        </xdr:cNvPr>
        <xdr:cNvSpPr/>
      </xdr:nvSpPr>
      <xdr:spPr>
        <a:xfrm>
          <a:off x="1675853" y="84045"/>
          <a:ext cx="2262521" cy="907143"/>
        </a:xfrm>
        <a:prstGeom prst="roundRect">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solidFill>
                <a:schemeClr val="bg1"/>
              </a:solidFill>
            </a:rPr>
            <a:t>Total Revenue</a:t>
          </a:r>
          <a:endParaRPr lang="en-US" sz="2000" b="1" baseline="0">
            <a:solidFill>
              <a:schemeClr val="bg1"/>
            </a:solidFill>
          </a:endParaRPr>
        </a:p>
        <a:p>
          <a:pPr algn="l"/>
          <a:endParaRPr lang="en-US" sz="2000" b="1">
            <a:solidFill>
              <a:schemeClr val="bg1"/>
            </a:solidFill>
          </a:endParaRPr>
        </a:p>
      </xdr:txBody>
    </xdr:sp>
    <xdr:clientData/>
  </xdr:twoCellAnchor>
  <xdr:twoCellAnchor>
    <xdr:from>
      <xdr:col>11</xdr:col>
      <xdr:colOff>195785</xdr:colOff>
      <xdr:row>0</xdr:row>
      <xdr:rowOff>77695</xdr:rowOff>
    </xdr:from>
    <xdr:to>
      <xdr:col>15</xdr:col>
      <xdr:colOff>37036</xdr:colOff>
      <xdr:row>5</xdr:row>
      <xdr:rowOff>77695</xdr:rowOff>
    </xdr:to>
    <xdr:sp macro="" textlink="">
      <xdr:nvSpPr>
        <xdr:cNvPr id="33" name="Rectangle: Rounded Corners 32">
          <a:extLst>
            <a:ext uri="{FF2B5EF4-FFF2-40B4-BE49-F238E27FC236}">
              <a16:creationId xmlns:a16="http://schemas.microsoft.com/office/drawing/2014/main" id="{442E7A36-6B79-46CB-9C71-EA5D5AECB2DB}"/>
            </a:ext>
          </a:extLst>
        </xdr:cNvPr>
        <xdr:cNvSpPr/>
      </xdr:nvSpPr>
      <xdr:spPr>
        <a:xfrm>
          <a:off x="6848166" y="77695"/>
          <a:ext cx="2260299" cy="907143"/>
        </a:xfrm>
        <a:prstGeom prst="roundRect">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solidFill>
                <a:schemeClr val="bg1"/>
              </a:solidFill>
            </a:rPr>
            <a:t>Patient</a:t>
          </a:r>
          <a:r>
            <a:rPr lang="en-US" sz="2000" b="1" baseline="0">
              <a:solidFill>
                <a:schemeClr val="bg1"/>
              </a:solidFill>
            </a:rPr>
            <a:t> Count</a:t>
          </a:r>
        </a:p>
        <a:p>
          <a:pPr algn="l"/>
          <a:endParaRPr lang="en-US" sz="2000" b="1">
            <a:solidFill>
              <a:schemeClr val="bg1"/>
            </a:solidFill>
          </a:endParaRPr>
        </a:p>
      </xdr:txBody>
    </xdr:sp>
    <xdr:clientData/>
  </xdr:twoCellAnchor>
  <xdr:twoCellAnchor>
    <xdr:from>
      <xdr:col>7</xdr:col>
      <xdr:colOff>29100</xdr:colOff>
      <xdr:row>0</xdr:row>
      <xdr:rowOff>52668</xdr:rowOff>
    </xdr:from>
    <xdr:to>
      <xdr:col>10</xdr:col>
      <xdr:colOff>475113</xdr:colOff>
      <xdr:row>5</xdr:row>
      <xdr:rowOff>52668</xdr:rowOff>
    </xdr:to>
    <xdr:sp macro="" textlink="">
      <xdr:nvSpPr>
        <xdr:cNvPr id="34" name="Rectangle: Rounded Corners 33">
          <a:extLst>
            <a:ext uri="{FF2B5EF4-FFF2-40B4-BE49-F238E27FC236}">
              <a16:creationId xmlns:a16="http://schemas.microsoft.com/office/drawing/2014/main" id="{D5E5E612-5607-404A-8529-CB15D94A2FB5}"/>
            </a:ext>
          </a:extLst>
        </xdr:cNvPr>
        <xdr:cNvSpPr/>
      </xdr:nvSpPr>
      <xdr:spPr>
        <a:xfrm>
          <a:off x="4262433" y="52668"/>
          <a:ext cx="2260299" cy="907143"/>
        </a:xfrm>
        <a:prstGeom prst="roundRect">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t>Surgical</a:t>
          </a:r>
          <a:r>
            <a:rPr lang="en-US" sz="2000" b="1" baseline="0"/>
            <a:t> Revenue</a:t>
          </a:r>
          <a:endParaRPr lang="en-US" sz="2000" b="1"/>
        </a:p>
      </xdr:txBody>
    </xdr:sp>
    <xdr:clientData/>
  </xdr:twoCellAnchor>
  <xdr:twoCellAnchor>
    <xdr:from>
      <xdr:col>15</xdr:col>
      <xdr:colOff>362471</xdr:colOff>
      <xdr:row>0</xdr:row>
      <xdr:rowOff>71345</xdr:rowOff>
    </xdr:from>
    <xdr:to>
      <xdr:col>19</xdr:col>
      <xdr:colOff>203721</xdr:colOff>
      <xdr:row>5</xdr:row>
      <xdr:rowOff>71345</xdr:rowOff>
    </xdr:to>
    <xdr:sp macro="" textlink="">
      <xdr:nvSpPr>
        <xdr:cNvPr id="37" name="Rectangle: Rounded Corners 36">
          <a:extLst>
            <a:ext uri="{FF2B5EF4-FFF2-40B4-BE49-F238E27FC236}">
              <a16:creationId xmlns:a16="http://schemas.microsoft.com/office/drawing/2014/main" id="{3C0FE9FB-A494-4E1C-B264-753AD079590B}"/>
            </a:ext>
          </a:extLst>
        </xdr:cNvPr>
        <xdr:cNvSpPr/>
      </xdr:nvSpPr>
      <xdr:spPr>
        <a:xfrm>
          <a:off x="9433900" y="71345"/>
          <a:ext cx="2260297" cy="907143"/>
        </a:xfrm>
        <a:prstGeom prst="roundRect">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solidFill>
                <a:schemeClr val="bg1"/>
              </a:solidFill>
            </a:rPr>
            <a:t>% Revenue</a:t>
          </a:r>
          <a:r>
            <a:rPr lang="en-US" sz="2000" b="1" baseline="0">
              <a:solidFill>
                <a:schemeClr val="bg1"/>
              </a:solidFill>
            </a:rPr>
            <a:t> Ratio</a:t>
          </a:r>
          <a:endParaRPr lang="en-US" sz="2000" b="1">
            <a:solidFill>
              <a:schemeClr val="bg1"/>
            </a:solidFill>
          </a:endParaRPr>
        </a:p>
      </xdr:txBody>
    </xdr:sp>
    <xdr:clientData/>
  </xdr:twoCellAnchor>
  <xdr:twoCellAnchor>
    <xdr:from>
      <xdr:col>2</xdr:col>
      <xdr:colOff>496912</xdr:colOff>
      <xdr:row>2</xdr:row>
      <xdr:rowOff>96763</xdr:rowOff>
    </xdr:from>
    <xdr:to>
      <xdr:col>5</xdr:col>
      <xdr:colOff>518078</xdr:colOff>
      <xdr:row>4</xdr:row>
      <xdr:rowOff>161775</xdr:rowOff>
    </xdr:to>
    <xdr:sp macro="" textlink="'Pivot Table'!D3">
      <xdr:nvSpPr>
        <xdr:cNvPr id="39" name="TextBox 38">
          <a:extLst>
            <a:ext uri="{FF2B5EF4-FFF2-40B4-BE49-F238E27FC236}">
              <a16:creationId xmlns:a16="http://schemas.microsoft.com/office/drawing/2014/main" id="{C4AFD2D1-ED7F-4F84-9840-18F2560999FE}"/>
            </a:ext>
          </a:extLst>
        </xdr:cNvPr>
        <xdr:cNvSpPr txBox="1"/>
      </xdr:nvSpPr>
      <xdr:spPr>
        <a:xfrm>
          <a:off x="1706436" y="459620"/>
          <a:ext cx="1835452" cy="4278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A5990B5-586E-4CCE-8A77-9EDD79B1C6F2}" type="TxLink">
            <a:rPr lang="en-US" sz="2400" b="1" i="0" u="none" strike="noStrike">
              <a:solidFill>
                <a:schemeClr val="bg1"/>
              </a:solidFill>
              <a:latin typeface="Aptos Narrow"/>
            </a:rPr>
            <a:pPr/>
            <a:t>₦104,993,332</a:t>
          </a:fld>
          <a:endParaRPr lang="en-US" sz="5400" b="1">
            <a:solidFill>
              <a:schemeClr val="bg1"/>
            </a:solidFill>
          </a:endParaRPr>
        </a:p>
      </xdr:txBody>
    </xdr:sp>
    <xdr:clientData/>
  </xdr:twoCellAnchor>
  <xdr:twoCellAnchor>
    <xdr:from>
      <xdr:col>7</xdr:col>
      <xdr:colOff>75843</xdr:colOff>
      <xdr:row>2</xdr:row>
      <xdr:rowOff>95001</xdr:rowOff>
    </xdr:from>
    <xdr:to>
      <xdr:col>10</xdr:col>
      <xdr:colOff>97010</xdr:colOff>
      <xdr:row>4</xdr:row>
      <xdr:rowOff>158500</xdr:rowOff>
    </xdr:to>
    <xdr:sp macro="" textlink="'Pivot Table'!B3">
      <xdr:nvSpPr>
        <xdr:cNvPr id="40" name="TextBox 39">
          <a:extLst>
            <a:ext uri="{FF2B5EF4-FFF2-40B4-BE49-F238E27FC236}">
              <a16:creationId xmlns:a16="http://schemas.microsoft.com/office/drawing/2014/main" id="{59EB49E2-1AC0-4F2E-816D-B98140B7D697}"/>
            </a:ext>
          </a:extLst>
        </xdr:cNvPr>
        <xdr:cNvSpPr txBox="1"/>
      </xdr:nvSpPr>
      <xdr:spPr>
        <a:xfrm>
          <a:off x="4309176" y="457858"/>
          <a:ext cx="1835453" cy="4263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3C604A7-810A-4DB7-98A1-5969E8D9BAB8}" type="TxLink">
            <a:rPr lang="en-US" sz="2400" b="1" i="0" u="none" strike="noStrike">
              <a:solidFill>
                <a:schemeClr val="bg1"/>
              </a:solidFill>
              <a:latin typeface="Aptos Narrow"/>
            </a:rPr>
            <a:pPr/>
            <a:t>₦58,888,000</a:t>
          </a:fld>
          <a:endParaRPr lang="en-US" sz="9600" b="1">
            <a:solidFill>
              <a:schemeClr val="bg1"/>
            </a:solidFill>
          </a:endParaRPr>
        </a:p>
      </xdr:txBody>
    </xdr:sp>
    <xdr:clientData/>
  </xdr:twoCellAnchor>
  <xdr:twoCellAnchor>
    <xdr:from>
      <xdr:col>11</xdr:col>
      <xdr:colOff>256744</xdr:colOff>
      <xdr:row>2</xdr:row>
      <xdr:rowOff>98862</xdr:rowOff>
    </xdr:from>
    <xdr:to>
      <xdr:col>14</xdr:col>
      <xdr:colOff>277911</xdr:colOff>
      <xdr:row>4</xdr:row>
      <xdr:rowOff>162361</xdr:rowOff>
    </xdr:to>
    <xdr:sp macro="" textlink="'Pivot Table'!A3">
      <xdr:nvSpPr>
        <xdr:cNvPr id="41" name="TextBox 40">
          <a:extLst>
            <a:ext uri="{FF2B5EF4-FFF2-40B4-BE49-F238E27FC236}">
              <a16:creationId xmlns:a16="http://schemas.microsoft.com/office/drawing/2014/main" id="{CABD7A82-8B09-4A76-A70C-F8C42DD5DE4C}"/>
            </a:ext>
          </a:extLst>
        </xdr:cNvPr>
        <xdr:cNvSpPr txBox="1"/>
      </xdr:nvSpPr>
      <xdr:spPr>
        <a:xfrm>
          <a:off x="6909125" y="461719"/>
          <a:ext cx="1835453" cy="4263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9CE7923-6009-440F-998B-4AC60B336F40}" type="TxLink">
            <a:rPr lang="en-US" sz="2400" b="1" i="0" u="none" strike="noStrike">
              <a:solidFill>
                <a:schemeClr val="bg1"/>
              </a:solidFill>
              <a:latin typeface="Aptos Narrow"/>
            </a:rPr>
            <a:pPr/>
            <a:t>300</a:t>
          </a:fld>
          <a:endParaRPr lang="en-US" sz="28700" b="1">
            <a:solidFill>
              <a:schemeClr val="bg1"/>
            </a:solidFill>
          </a:endParaRPr>
        </a:p>
      </xdr:txBody>
    </xdr:sp>
    <xdr:clientData/>
  </xdr:twoCellAnchor>
  <xdr:twoCellAnchor>
    <xdr:from>
      <xdr:col>15</xdr:col>
      <xdr:colOff>399343</xdr:colOff>
      <xdr:row>2</xdr:row>
      <xdr:rowOff>135853</xdr:rowOff>
    </xdr:from>
    <xdr:to>
      <xdr:col>18</xdr:col>
      <xdr:colOff>420511</xdr:colOff>
      <xdr:row>5</xdr:row>
      <xdr:rowOff>19436</xdr:rowOff>
    </xdr:to>
    <xdr:sp macro="" textlink="'Pivot Table'!E3">
      <xdr:nvSpPr>
        <xdr:cNvPr id="42" name="TextBox 41">
          <a:extLst>
            <a:ext uri="{FF2B5EF4-FFF2-40B4-BE49-F238E27FC236}">
              <a16:creationId xmlns:a16="http://schemas.microsoft.com/office/drawing/2014/main" id="{B211AA86-1252-4500-8A06-9725E82885BF}"/>
            </a:ext>
          </a:extLst>
        </xdr:cNvPr>
        <xdr:cNvSpPr txBox="1"/>
      </xdr:nvSpPr>
      <xdr:spPr>
        <a:xfrm>
          <a:off x="9470772" y="498710"/>
          <a:ext cx="1835453" cy="4278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AC6E664-4C70-4BC2-B3B7-12DC6200E82B}" type="TxLink">
            <a:rPr lang="en-US" sz="2400" b="1" i="0" u="none" strike="noStrike">
              <a:solidFill>
                <a:schemeClr val="bg1"/>
              </a:solidFill>
              <a:latin typeface="Aptos Narrow"/>
            </a:rPr>
            <a:pPr/>
            <a:t> 56.09 </a:t>
          </a:fld>
          <a:endParaRPr lang="en-US" sz="28700" b="1">
            <a:solidFill>
              <a:schemeClr val="bg1"/>
            </a:solidFill>
          </a:endParaRPr>
        </a:p>
      </xdr:txBody>
    </xdr:sp>
    <xdr:clientData/>
  </xdr:twoCellAnchor>
  <xdr:twoCellAnchor>
    <xdr:from>
      <xdr:col>2</xdr:col>
      <xdr:colOff>417378</xdr:colOff>
      <xdr:row>6</xdr:row>
      <xdr:rowOff>30239</xdr:rowOff>
    </xdr:from>
    <xdr:to>
      <xdr:col>8</xdr:col>
      <xdr:colOff>564445</xdr:colOff>
      <xdr:row>28</xdr:row>
      <xdr:rowOff>50397</xdr:rowOff>
    </xdr:to>
    <xdr:graphicFrame macro="">
      <xdr:nvGraphicFramePr>
        <xdr:cNvPr id="44" name="Chart 43">
          <a:extLst>
            <a:ext uri="{FF2B5EF4-FFF2-40B4-BE49-F238E27FC236}">
              <a16:creationId xmlns:a16="http://schemas.microsoft.com/office/drawing/2014/main" id="{4BAA8A60-341C-4040-B8B7-9CF33F81E5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16</xdr:col>
      <xdr:colOff>151696</xdr:colOff>
      <xdr:row>6</xdr:row>
      <xdr:rowOff>23184</xdr:rowOff>
    </xdr:from>
    <xdr:to>
      <xdr:col>19</xdr:col>
      <xdr:colOff>166210</xdr:colOff>
      <xdr:row>16</xdr:row>
      <xdr:rowOff>116417</xdr:rowOff>
    </xdr:to>
    <mc:AlternateContent xmlns:mc="http://schemas.openxmlformats.org/markup-compatibility/2006" xmlns:a14="http://schemas.microsoft.com/office/drawing/2010/main">
      <mc:Choice Requires="a14">
        <xdr:graphicFrame macro="">
          <xdr:nvGraphicFramePr>
            <xdr:cNvPr id="2" name="Diagnosis">
              <a:extLst>
                <a:ext uri="{FF2B5EF4-FFF2-40B4-BE49-F238E27FC236}">
                  <a16:creationId xmlns:a16="http://schemas.microsoft.com/office/drawing/2014/main" id="{81CC8475-B56F-4F62-9DC6-27BB1A9BF50D}"/>
                </a:ext>
              </a:extLst>
            </xdr:cNvPr>
            <xdr:cNvGraphicFramePr/>
          </xdr:nvGraphicFramePr>
          <xdr:xfrm>
            <a:off x="0" y="0"/>
            <a:ext cx="0" cy="0"/>
          </xdr:xfrm>
          <a:graphic>
            <a:graphicData uri="http://schemas.microsoft.com/office/drawing/2010/slicer">
              <sle:slicer xmlns:sle="http://schemas.microsoft.com/office/drawing/2010/slicer" name="Diagnosis"/>
            </a:graphicData>
          </a:graphic>
        </xdr:graphicFrame>
      </mc:Choice>
      <mc:Fallback xmlns="">
        <xdr:sp macro="" textlink="">
          <xdr:nvSpPr>
            <xdr:cNvPr id="0" name=""/>
            <xdr:cNvSpPr>
              <a:spLocks noTextEdit="1"/>
            </xdr:cNvSpPr>
          </xdr:nvSpPr>
          <xdr:spPr>
            <a:xfrm>
              <a:off x="9973029" y="1102684"/>
              <a:ext cx="1856014" cy="1892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139699</xdr:colOff>
      <xdr:row>17</xdr:row>
      <xdr:rowOff>31749</xdr:rowOff>
    </xdr:from>
    <xdr:to>
      <xdr:col>19</xdr:col>
      <xdr:colOff>179916</xdr:colOff>
      <xdr:row>28</xdr:row>
      <xdr:rowOff>63498</xdr:rowOff>
    </xdr:to>
    <mc:AlternateContent xmlns:mc="http://schemas.openxmlformats.org/markup-compatibility/2006" xmlns:a14="http://schemas.microsoft.com/office/drawing/2010/main">
      <mc:Choice Requires="a14">
        <xdr:graphicFrame macro="">
          <xdr:nvGraphicFramePr>
            <xdr:cNvPr id="3" name="Surgery Status 1">
              <a:extLst>
                <a:ext uri="{FF2B5EF4-FFF2-40B4-BE49-F238E27FC236}">
                  <a16:creationId xmlns:a16="http://schemas.microsoft.com/office/drawing/2014/main" id="{7ED59909-B269-215D-EFD4-2ED38A95252F}"/>
                </a:ext>
              </a:extLst>
            </xdr:cNvPr>
            <xdr:cNvGraphicFramePr/>
          </xdr:nvGraphicFramePr>
          <xdr:xfrm>
            <a:off x="0" y="0"/>
            <a:ext cx="0" cy="0"/>
          </xdr:xfrm>
          <a:graphic>
            <a:graphicData uri="http://schemas.microsoft.com/office/drawing/2010/slicer">
              <sle:slicer xmlns:sle="http://schemas.microsoft.com/office/drawing/2010/slicer" name="Surgery Status 1"/>
            </a:graphicData>
          </a:graphic>
        </xdr:graphicFrame>
      </mc:Choice>
      <mc:Fallback xmlns="">
        <xdr:sp macro="" textlink="">
          <xdr:nvSpPr>
            <xdr:cNvPr id="0" name=""/>
            <xdr:cNvSpPr>
              <a:spLocks noTextEdit="1"/>
            </xdr:cNvSpPr>
          </xdr:nvSpPr>
          <xdr:spPr>
            <a:xfrm>
              <a:off x="9961032" y="3090332"/>
              <a:ext cx="1881717" cy="20108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21167</xdr:colOff>
      <xdr:row>6</xdr:row>
      <xdr:rowOff>31749</xdr:rowOff>
    </xdr:from>
    <xdr:to>
      <xdr:col>16</xdr:col>
      <xdr:colOff>31750</xdr:colOff>
      <xdr:row>28</xdr:row>
      <xdr:rowOff>63499</xdr:rowOff>
    </xdr:to>
    <xdr:graphicFrame macro="">
      <xdr:nvGraphicFramePr>
        <xdr:cNvPr id="4" name="Chart 3">
          <a:extLst>
            <a:ext uri="{FF2B5EF4-FFF2-40B4-BE49-F238E27FC236}">
              <a16:creationId xmlns:a16="http://schemas.microsoft.com/office/drawing/2014/main" id="{731A0A62-6BC7-44C5-A5EE-4B8CCFD33F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xdr:colOff>
      <xdr:row>0</xdr:row>
      <xdr:rowOff>1</xdr:rowOff>
    </xdr:from>
    <xdr:to>
      <xdr:col>2</xdr:col>
      <xdr:colOff>312461</xdr:colOff>
      <xdr:row>28</xdr:row>
      <xdr:rowOff>90715</xdr:rowOff>
    </xdr:to>
    <xdr:sp macro="" textlink="">
      <xdr:nvSpPr>
        <xdr:cNvPr id="2" name="Rectangle: Rounded Corners 1">
          <a:extLst>
            <a:ext uri="{FF2B5EF4-FFF2-40B4-BE49-F238E27FC236}">
              <a16:creationId xmlns:a16="http://schemas.microsoft.com/office/drawing/2014/main" id="{59FBD78E-0687-4052-90BA-FCFA3F245FAB}"/>
            </a:ext>
          </a:extLst>
        </xdr:cNvPr>
        <xdr:cNvSpPr/>
      </xdr:nvSpPr>
      <xdr:spPr>
        <a:xfrm>
          <a:off x="1" y="1"/>
          <a:ext cx="1531660" cy="5246914"/>
        </a:xfrm>
        <a:prstGeom prst="roundRect">
          <a:avLst>
            <a:gd name="adj" fmla="val 0"/>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solidFill>
                <a:schemeClr val="bg1"/>
              </a:solidFill>
            </a:rPr>
            <a:t>IN-PATIENT REVENUE</a:t>
          </a:r>
        </a:p>
        <a:p>
          <a:pPr algn="l"/>
          <a:r>
            <a:rPr lang="en-US" sz="2000" b="1">
              <a:solidFill>
                <a:schemeClr val="bg1"/>
              </a:solidFill>
            </a:rPr>
            <a:t>ANALYSIS</a:t>
          </a:r>
        </a:p>
        <a:p>
          <a:pPr algn="l"/>
          <a:endParaRPr lang="en-US" sz="1600" b="1">
            <a:solidFill>
              <a:schemeClr val="bg1"/>
            </a:solidFill>
          </a:endParaRPr>
        </a:p>
        <a:p>
          <a:pPr algn="l"/>
          <a:endParaRPr lang="en-US" sz="1600" b="1">
            <a:solidFill>
              <a:schemeClr val="bg1"/>
            </a:solidFill>
          </a:endParaRPr>
        </a:p>
        <a:p>
          <a:pPr algn="l"/>
          <a:endParaRPr lang="en-US" sz="1600" b="1">
            <a:solidFill>
              <a:schemeClr val="bg1"/>
            </a:solidFill>
          </a:endParaRPr>
        </a:p>
        <a:p>
          <a:pPr algn="l"/>
          <a:r>
            <a:rPr lang="en-US" sz="1100" b="1">
              <a:solidFill>
                <a:schemeClr val="bg1"/>
              </a:solidFill>
            </a:rPr>
            <a:t>Table</a:t>
          </a:r>
        </a:p>
        <a:p>
          <a:pPr algn="l"/>
          <a:endParaRPr lang="en-US" sz="1100" b="1">
            <a:solidFill>
              <a:schemeClr val="bg1"/>
            </a:solidFill>
          </a:endParaRPr>
        </a:p>
        <a:p>
          <a:pPr algn="l"/>
          <a:endParaRPr lang="en-US" sz="1100" b="1">
            <a:solidFill>
              <a:schemeClr val="bg1"/>
            </a:solidFill>
          </a:endParaRPr>
        </a:p>
        <a:p>
          <a:pPr algn="l"/>
          <a:endParaRPr lang="en-US" sz="1100" b="1">
            <a:solidFill>
              <a:schemeClr val="bg1"/>
            </a:solidFill>
          </a:endParaRPr>
        </a:p>
        <a:p>
          <a:pPr algn="l"/>
          <a:endParaRPr lang="en-US" sz="1100" b="1">
            <a:solidFill>
              <a:schemeClr val="bg1"/>
            </a:solidFill>
          </a:endParaRPr>
        </a:p>
        <a:p>
          <a:pPr algn="l"/>
          <a:endParaRPr lang="en-US" sz="1100" b="1">
            <a:solidFill>
              <a:schemeClr val="bg1"/>
            </a:solidFill>
          </a:endParaRPr>
        </a:p>
        <a:p>
          <a:pPr algn="l"/>
          <a:r>
            <a:rPr lang="en-US" sz="1100" b="1">
              <a:solidFill>
                <a:schemeClr val="bg1"/>
              </a:solidFill>
            </a:rPr>
            <a:t>Introduction</a:t>
          </a:r>
        </a:p>
        <a:p>
          <a:pPr algn="l"/>
          <a:endParaRPr lang="en-US" sz="1100" b="1">
            <a:solidFill>
              <a:schemeClr val="bg1"/>
            </a:solidFill>
          </a:endParaRPr>
        </a:p>
        <a:p>
          <a:pPr algn="l"/>
          <a:endParaRPr lang="en-US" sz="1100" b="1">
            <a:solidFill>
              <a:schemeClr val="bg1"/>
            </a:solidFill>
          </a:endParaRPr>
        </a:p>
        <a:p>
          <a:pPr algn="l"/>
          <a:endParaRPr lang="en-US" sz="1100" b="1">
            <a:solidFill>
              <a:schemeClr val="bg1"/>
            </a:solidFill>
          </a:endParaRPr>
        </a:p>
        <a:p>
          <a:pPr algn="l"/>
          <a:endParaRPr lang="en-US" sz="1100" b="1">
            <a:solidFill>
              <a:schemeClr val="bg1"/>
            </a:solidFill>
          </a:endParaRPr>
        </a:p>
        <a:p>
          <a:pPr algn="l"/>
          <a:endParaRPr lang="en-US" sz="1100" b="1">
            <a:solidFill>
              <a:schemeClr val="bg1"/>
            </a:solidFill>
          </a:endParaRPr>
        </a:p>
        <a:p>
          <a:pPr algn="l"/>
          <a:r>
            <a:rPr lang="en-US" sz="1100" b="1">
              <a:solidFill>
                <a:schemeClr val="bg1"/>
              </a:solidFill>
            </a:rPr>
            <a:t>Admission Analysis</a:t>
          </a:r>
        </a:p>
        <a:p>
          <a:pPr algn="l"/>
          <a:endParaRPr lang="en-US" sz="1100" b="1">
            <a:solidFill>
              <a:schemeClr val="bg1"/>
            </a:solidFill>
          </a:endParaRPr>
        </a:p>
        <a:p>
          <a:pPr algn="l"/>
          <a:endParaRPr lang="en-US" sz="1100" b="1">
            <a:solidFill>
              <a:schemeClr val="bg1"/>
            </a:solidFill>
          </a:endParaRPr>
        </a:p>
        <a:p>
          <a:pPr algn="l"/>
          <a:endParaRPr lang="en-US" sz="1100" b="1">
            <a:solidFill>
              <a:schemeClr val="bg1"/>
            </a:solidFill>
          </a:endParaRPr>
        </a:p>
        <a:p>
          <a:pPr algn="l"/>
          <a:endParaRPr lang="en-US" sz="1100" b="1">
            <a:solidFill>
              <a:schemeClr val="bg1"/>
            </a:solidFill>
          </a:endParaRPr>
        </a:p>
        <a:p>
          <a:pPr algn="l"/>
          <a:endParaRPr lang="en-US" sz="1100" b="1">
            <a:solidFill>
              <a:schemeClr val="bg1"/>
            </a:solidFill>
          </a:endParaRPr>
        </a:p>
        <a:p>
          <a:pPr algn="l"/>
          <a:r>
            <a:rPr lang="en-US" sz="1100" b="1">
              <a:solidFill>
                <a:schemeClr val="bg1"/>
              </a:solidFill>
            </a:rPr>
            <a:t>Surgical Analysis</a:t>
          </a:r>
        </a:p>
      </xdr:txBody>
    </xdr:sp>
    <xdr:clientData/>
  </xdr:twoCellAnchor>
  <xdr:twoCellAnchor editAs="oneCell">
    <xdr:from>
      <xdr:col>0</xdr:col>
      <xdr:colOff>344037</xdr:colOff>
      <xdr:row>17</xdr:row>
      <xdr:rowOff>34856</xdr:rowOff>
    </xdr:from>
    <xdr:to>
      <xdr:col>1</xdr:col>
      <xdr:colOff>377981</xdr:colOff>
      <xdr:row>20</xdr:row>
      <xdr:rowOff>105911</xdr:rowOff>
    </xdr:to>
    <xdr:pic>
      <xdr:nvPicPr>
        <xdr:cNvPr id="3" name="Graphic 2" descr="Statistics with solid fill">
          <a:hlinkClick xmlns:r="http://schemas.openxmlformats.org/officeDocument/2006/relationships" r:id="rId1"/>
          <a:extLst>
            <a:ext uri="{FF2B5EF4-FFF2-40B4-BE49-F238E27FC236}">
              <a16:creationId xmlns:a16="http://schemas.microsoft.com/office/drawing/2014/main" id="{4736BF63-6F34-4504-BCDB-5BFD56041C08}"/>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344037" y="3165406"/>
          <a:ext cx="643544" cy="623505"/>
        </a:xfrm>
        <a:prstGeom prst="rect">
          <a:avLst/>
        </a:prstGeom>
      </xdr:spPr>
    </xdr:pic>
    <xdr:clientData/>
  </xdr:twoCellAnchor>
  <xdr:twoCellAnchor editAs="oneCell">
    <xdr:from>
      <xdr:col>0</xdr:col>
      <xdr:colOff>318986</xdr:colOff>
      <xdr:row>22</xdr:row>
      <xdr:rowOff>145527</xdr:rowOff>
    </xdr:from>
    <xdr:to>
      <xdr:col>1</xdr:col>
      <xdr:colOff>352930</xdr:colOff>
      <xdr:row>26</xdr:row>
      <xdr:rowOff>41338</xdr:rowOff>
    </xdr:to>
    <xdr:pic>
      <xdr:nvPicPr>
        <xdr:cNvPr id="4" name="Graphic 3" descr="Research with solid fill">
          <a:hlinkClick xmlns:r="http://schemas.openxmlformats.org/officeDocument/2006/relationships" r:id="rId4"/>
          <a:extLst>
            <a:ext uri="{FF2B5EF4-FFF2-40B4-BE49-F238E27FC236}">
              <a16:creationId xmlns:a16="http://schemas.microsoft.com/office/drawing/2014/main" id="{384674EF-B2BA-487C-A59D-334075267CBF}"/>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18986" y="4196827"/>
          <a:ext cx="643544" cy="632411"/>
        </a:xfrm>
        <a:prstGeom prst="rect">
          <a:avLst/>
        </a:prstGeom>
      </xdr:spPr>
    </xdr:pic>
    <xdr:clientData/>
  </xdr:twoCellAnchor>
  <xdr:twoCellAnchor editAs="oneCell">
    <xdr:from>
      <xdr:col>0</xdr:col>
      <xdr:colOff>365687</xdr:colOff>
      <xdr:row>11</xdr:row>
      <xdr:rowOff>58370</xdr:rowOff>
    </xdr:from>
    <xdr:to>
      <xdr:col>1</xdr:col>
      <xdr:colOff>399631</xdr:colOff>
      <xdr:row>14</xdr:row>
      <xdr:rowOff>135610</xdr:rowOff>
    </xdr:to>
    <xdr:pic>
      <xdr:nvPicPr>
        <xdr:cNvPr id="5" name="Graphic 4" descr="Supply And Demand with solid fill">
          <a:hlinkClick xmlns:r="http://schemas.openxmlformats.org/officeDocument/2006/relationships" r:id="rId7"/>
          <a:extLst>
            <a:ext uri="{FF2B5EF4-FFF2-40B4-BE49-F238E27FC236}">
              <a16:creationId xmlns:a16="http://schemas.microsoft.com/office/drawing/2014/main" id="{65283735-B6C8-4FF3-BFEA-5FC543925399}"/>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65687" y="2084020"/>
          <a:ext cx="643544" cy="629690"/>
        </a:xfrm>
        <a:prstGeom prst="rect">
          <a:avLst/>
        </a:prstGeom>
      </xdr:spPr>
    </xdr:pic>
    <xdr:clientData/>
  </xdr:twoCellAnchor>
  <xdr:twoCellAnchor editAs="oneCell">
    <xdr:from>
      <xdr:col>0</xdr:col>
      <xdr:colOff>420961</xdr:colOff>
      <xdr:row>6</xdr:row>
      <xdr:rowOff>90712</xdr:rowOff>
    </xdr:from>
    <xdr:to>
      <xdr:col>1</xdr:col>
      <xdr:colOff>457039</xdr:colOff>
      <xdr:row>9</xdr:row>
      <xdr:rowOff>170498</xdr:rowOff>
    </xdr:to>
    <xdr:pic>
      <xdr:nvPicPr>
        <xdr:cNvPr id="6" name="Graphic 5" descr="Table with solid fill">
          <a:hlinkClick xmlns:r="http://schemas.openxmlformats.org/officeDocument/2006/relationships" r:id="rId10"/>
          <a:extLst>
            <a:ext uri="{FF2B5EF4-FFF2-40B4-BE49-F238E27FC236}">
              <a16:creationId xmlns:a16="http://schemas.microsoft.com/office/drawing/2014/main" id="{0F679EB0-B39F-4FB8-AE35-B34E29B09CF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420961" y="1195612"/>
          <a:ext cx="645678" cy="632236"/>
        </a:xfrm>
        <a:prstGeom prst="rect">
          <a:avLst/>
        </a:prstGeom>
      </xdr:spPr>
    </xdr:pic>
    <xdr:clientData/>
  </xdr:twoCellAnchor>
  <xdr:twoCellAnchor>
    <xdr:from>
      <xdr:col>2</xdr:col>
      <xdr:colOff>466329</xdr:colOff>
      <xdr:row>0</xdr:row>
      <xdr:rowOff>84045</xdr:rowOff>
    </xdr:from>
    <xdr:to>
      <xdr:col>6</xdr:col>
      <xdr:colOff>309803</xdr:colOff>
      <xdr:row>5</xdr:row>
      <xdr:rowOff>84045</xdr:rowOff>
    </xdr:to>
    <xdr:sp macro="" textlink="">
      <xdr:nvSpPr>
        <xdr:cNvPr id="7" name="Rectangle: Rounded Corners 6">
          <a:extLst>
            <a:ext uri="{FF2B5EF4-FFF2-40B4-BE49-F238E27FC236}">
              <a16:creationId xmlns:a16="http://schemas.microsoft.com/office/drawing/2014/main" id="{B1AAEF6E-A022-4CFC-9BDF-63324C40CA52}"/>
            </a:ext>
          </a:extLst>
        </xdr:cNvPr>
        <xdr:cNvSpPr/>
      </xdr:nvSpPr>
      <xdr:spPr>
        <a:xfrm>
          <a:off x="1685529" y="84045"/>
          <a:ext cx="2281874" cy="920750"/>
        </a:xfrm>
        <a:prstGeom prst="roundRect">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solidFill>
                <a:schemeClr val="bg1"/>
              </a:solidFill>
            </a:rPr>
            <a:t>Total Revenue</a:t>
          </a:r>
          <a:endParaRPr lang="en-US" sz="2000" b="1" baseline="0">
            <a:solidFill>
              <a:schemeClr val="bg1"/>
            </a:solidFill>
          </a:endParaRPr>
        </a:p>
        <a:p>
          <a:pPr algn="l"/>
          <a:endParaRPr lang="en-US" sz="2000" b="1">
            <a:solidFill>
              <a:schemeClr val="bg1"/>
            </a:solidFill>
          </a:endParaRPr>
        </a:p>
      </xdr:txBody>
    </xdr:sp>
    <xdr:clientData/>
  </xdr:twoCellAnchor>
  <xdr:twoCellAnchor>
    <xdr:from>
      <xdr:col>11</xdr:col>
      <xdr:colOff>195785</xdr:colOff>
      <xdr:row>0</xdr:row>
      <xdr:rowOff>77695</xdr:rowOff>
    </xdr:from>
    <xdr:to>
      <xdr:col>15</xdr:col>
      <xdr:colOff>37036</xdr:colOff>
      <xdr:row>5</xdr:row>
      <xdr:rowOff>77695</xdr:rowOff>
    </xdr:to>
    <xdr:sp macro="" textlink="">
      <xdr:nvSpPr>
        <xdr:cNvPr id="8" name="Rectangle: Rounded Corners 7">
          <a:extLst>
            <a:ext uri="{FF2B5EF4-FFF2-40B4-BE49-F238E27FC236}">
              <a16:creationId xmlns:a16="http://schemas.microsoft.com/office/drawing/2014/main" id="{69A7F590-6C54-40A1-84F6-6A4F25AB0404}"/>
            </a:ext>
          </a:extLst>
        </xdr:cNvPr>
        <xdr:cNvSpPr/>
      </xdr:nvSpPr>
      <xdr:spPr>
        <a:xfrm>
          <a:off x="6901385" y="77695"/>
          <a:ext cx="2279651" cy="920750"/>
        </a:xfrm>
        <a:prstGeom prst="roundRect">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solidFill>
                <a:schemeClr val="bg1"/>
              </a:solidFill>
            </a:rPr>
            <a:t>Patient</a:t>
          </a:r>
          <a:r>
            <a:rPr lang="en-US" sz="2000" b="1" baseline="0">
              <a:solidFill>
                <a:schemeClr val="bg1"/>
              </a:solidFill>
            </a:rPr>
            <a:t> Count</a:t>
          </a:r>
        </a:p>
        <a:p>
          <a:pPr algn="l"/>
          <a:endParaRPr lang="en-US" sz="2000" b="1">
            <a:solidFill>
              <a:schemeClr val="bg1"/>
            </a:solidFill>
          </a:endParaRPr>
        </a:p>
      </xdr:txBody>
    </xdr:sp>
    <xdr:clientData/>
  </xdr:twoCellAnchor>
  <xdr:twoCellAnchor>
    <xdr:from>
      <xdr:col>7</xdr:col>
      <xdr:colOff>29100</xdr:colOff>
      <xdr:row>0</xdr:row>
      <xdr:rowOff>52668</xdr:rowOff>
    </xdr:from>
    <xdr:to>
      <xdr:col>10</xdr:col>
      <xdr:colOff>475113</xdr:colOff>
      <xdr:row>5</xdr:row>
      <xdr:rowOff>52668</xdr:rowOff>
    </xdr:to>
    <xdr:sp macro="" textlink="">
      <xdr:nvSpPr>
        <xdr:cNvPr id="9" name="Rectangle: Rounded Corners 8">
          <a:extLst>
            <a:ext uri="{FF2B5EF4-FFF2-40B4-BE49-F238E27FC236}">
              <a16:creationId xmlns:a16="http://schemas.microsoft.com/office/drawing/2014/main" id="{2D074808-F0D7-4B0C-B0B8-0FB29E90DD01}"/>
            </a:ext>
          </a:extLst>
        </xdr:cNvPr>
        <xdr:cNvSpPr/>
      </xdr:nvSpPr>
      <xdr:spPr>
        <a:xfrm>
          <a:off x="4296300" y="52668"/>
          <a:ext cx="2274813" cy="920750"/>
        </a:xfrm>
        <a:prstGeom prst="roundRect">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t>Surgical</a:t>
          </a:r>
          <a:r>
            <a:rPr lang="en-US" sz="2000" b="1" baseline="0"/>
            <a:t> Revenue</a:t>
          </a:r>
          <a:endParaRPr lang="en-US" sz="2000" b="1"/>
        </a:p>
      </xdr:txBody>
    </xdr:sp>
    <xdr:clientData/>
  </xdr:twoCellAnchor>
  <xdr:twoCellAnchor>
    <xdr:from>
      <xdr:col>15</xdr:col>
      <xdr:colOff>362471</xdr:colOff>
      <xdr:row>0</xdr:row>
      <xdr:rowOff>71345</xdr:rowOff>
    </xdr:from>
    <xdr:to>
      <xdr:col>19</xdr:col>
      <xdr:colOff>203721</xdr:colOff>
      <xdr:row>5</xdr:row>
      <xdr:rowOff>71345</xdr:rowOff>
    </xdr:to>
    <xdr:sp macro="" textlink="">
      <xdr:nvSpPr>
        <xdr:cNvPr id="10" name="Rectangle: Rounded Corners 9">
          <a:extLst>
            <a:ext uri="{FF2B5EF4-FFF2-40B4-BE49-F238E27FC236}">
              <a16:creationId xmlns:a16="http://schemas.microsoft.com/office/drawing/2014/main" id="{C3D6D024-2543-4142-AEED-66A206A79166}"/>
            </a:ext>
          </a:extLst>
        </xdr:cNvPr>
        <xdr:cNvSpPr/>
      </xdr:nvSpPr>
      <xdr:spPr>
        <a:xfrm>
          <a:off x="9506471" y="71345"/>
          <a:ext cx="2279650" cy="920750"/>
        </a:xfrm>
        <a:prstGeom prst="roundRect">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solidFill>
                <a:schemeClr val="bg1"/>
              </a:solidFill>
            </a:rPr>
            <a:t>% Revenue</a:t>
          </a:r>
          <a:r>
            <a:rPr lang="en-US" sz="2000" b="1" baseline="0">
              <a:solidFill>
                <a:schemeClr val="bg1"/>
              </a:solidFill>
            </a:rPr>
            <a:t> Ratio</a:t>
          </a:r>
          <a:endParaRPr lang="en-US" sz="2000" b="1">
            <a:solidFill>
              <a:schemeClr val="bg1"/>
            </a:solidFill>
          </a:endParaRPr>
        </a:p>
      </xdr:txBody>
    </xdr:sp>
    <xdr:clientData/>
  </xdr:twoCellAnchor>
  <xdr:twoCellAnchor>
    <xdr:from>
      <xdr:col>2</xdr:col>
      <xdr:colOff>496912</xdr:colOff>
      <xdr:row>2</xdr:row>
      <xdr:rowOff>96763</xdr:rowOff>
    </xdr:from>
    <xdr:to>
      <xdr:col>5</xdr:col>
      <xdr:colOff>518078</xdr:colOff>
      <xdr:row>4</xdr:row>
      <xdr:rowOff>161775</xdr:rowOff>
    </xdr:to>
    <xdr:sp macro="" textlink="'Pivot Table'!D3">
      <xdr:nvSpPr>
        <xdr:cNvPr id="11" name="TextBox 10">
          <a:extLst>
            <a:ext uri="{FF2B5EF4-FFF2-40B4-BE49-F238E27FC236}">
              <a16:creationId xmlns:a16="http://schemas.microsoft.com/office/drawing/2014/main" id="{A946EC6E-4A07-490D-B567-973F99903D61}"/>
            </a:ext>
          </a:extLst>
        </xdr:cNvPr>
        <xdr:cNvSpPr txBox="1"/>
      </xdr:nvSpPr>
      <xdr:spPr>
        <a:xfrm>
          <a:off x="1716112" y="465063"/>
          <a:ext cx="1849966" cy="4333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A5990B5-586E-4CCE-8A77-9EDD79B1C6F2}" type="TxLink">
            <a:rPr lang="en-US" sz="2400" b="1" i="0" u="none" strike="noStrike">
              <a:solidFill>
                <a:schemeClr val="bg1"/>
              </a:solidFill>
              <a:latin typeface="Aptos Narrow"/>
            </a:rPr>
            <a:pPr/>
            <a:t>₦104,993,332</a:t>
          </a:fld>
          <a:endParaRPr lang="en-US" sz="5400" b="1">
            <a:solidFill>
              <a:schemeClr val="bg1"/>
            </a:solidFill>
          </a:endParaRPr>
        </a:p>
      </xdr:txBody>
    </xdr:sp>
    <xdr:clientData/>
  </xdr:twoCellAnchor>
  <xdr:twoCellAnchor>
    <xdr:from>
      <xdr:col>7</xdr:col>
      <xdr:colOff>75843</xdr:colOff>
      <xdr:row>2</xdr:row>
      <xdr:rowOff>95001</xdr:rowOff>
    </xdr:from>
    <xdr:to>
      <xdr:col>10</xdr:col>
      <xdr:colOff>97010</xdr:colOff>
      <xdr:row>4</xdr:row>
      <xdr:rowOff>158500</xdr:rowOff>
    </xdr:to>
    <xdr:sp macro="" textlink="'Pivot Table'!B3">
      <xdr:nvSpPr>
        <xdr:cNvPr id="12" name="TextBox 11">
          <a:extLst>
            <a:ext uri="{FF2B5EF4-FFF2-40B4-BE49-F238E27FC236}">
              <a16:creationId xmlns:a16="http://schemas.microsoft.com/office/drawing/2014/main" id="{715021FC-DAEF-4F18-AAFD-406C676CEBA3}"/>
            </a:ext>
          </a:extLst>
        </xdr:cNvPr>
        <xdr:cNvSpPr txBox="1"/>
      </xdr:nvSpPr>
      <xdr:spPr>
        <a:xfrm>
          <a:off x="4343043" y="463301"/>
          <a:ext cx="1849967" cy="4317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3C604A7-810A-4DB7-98A1-5969E8D9BAB8}" type="TxLink">
            <a:rPr lang="en-US" sz="2400" b="1" i="0" u="none" strike="noStrike">
              <a:solidFill>
                <a:schemeClr val="bg1"/>
              </a:solidFill>
              <a:latin typeface="Aptos Narrow"/>
            </a:rPr>
            <a:pPr/>
            <a:t>₦58,888,000</a:t>
          </a:fld>
          <a:endParaRPr lang="en-US" sz="9600" b="1">
            <a:solidFill>
              <a:schemeClr val="bg1"/>
            </a:solidFill>
          </a:endParaRPr>
        </a:p>
      </xdr:txBody>
    </xdr:sp>
    <xdr:clientData/>
  </xdr:twoCellAnchor>
  <xdr:twoCellAnchor>
    <xdr:from>
      <xdr:col>11</xdr:col>
      <xdr:colOff>256744</xdr:colOff>
      <xdr:row>2</xdr:row>
      <xdr:rowOff>98862</xdr:rowOff>
    </xdr:from>
    <xdr:to>
      <xdr:col>14</xdr:col>
      <xdr:colOff>277911</xdr:colOff>
      <xdr:row>4</xdr:row>
      <xdr:rowOff>162361</xdr:rowOff>
    </xdr:to>
    <xdr:sp macro="" textlink="'Pivot Table'!A3">
      <xdr:nvSpPr>
        <xdr:cNvPr id="13" name="TextBox 12">
          <a:extLst>
            <a:ext uri="{FF2B5EF4-FFF2-40B4-BE49-F238E27FC236}">
              <a16:creationId xmlns:a16="http://schemas.microsoft.com/office/drawing/2014/main" id="{9F070C9B-92D1-44CA-B927-6B04080B07F1}"/>
            </a:ext>
          </a:extLst>
        </xdr:cNvPr>
        <xdr:cNvSpPr txBox="1"/>
      </xdr:nvSpPr>
      <xdr:spPr>
        <a:xfrm>
          <a:off x="6962344" y="467162"/>
          <a:ext cx="1849967" cy="4317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9CE7923-6009-440F-998B-4AC60B336F40}" type="TxLink">
            <a:rPr lang="en-US" sz="2400" b="1" i="0" u="none" strike="noStrike">
              <a:solidFill>
                <a:schemeClr val="bg1"/>
              </a:solidFill>
              <a:latin typeface="Aptos Narrow"/>
            </a:rPr>
            <a:pPr/>
            <a:t>300</a:t>
          </a:fld>
          <a:endParaRPr lang="en-US" sz="28700" b="1">
            <a:solidFill>
              <a:schemeClr val="bg1"/>
            </a:solidFill>
          </a:endParaRPr>
        </a:p>
      </xdr:txBody>
    </xdr:sp>
    <xdr:clientData/>
  </xdr:twoCellAnchor>
  <xdr:twoCellAnchor>
    <xdr:from>
      <xdr:col>15</xdr:col>
      <xdr:colOff>399343</xdr:colOff>
      <xdr:row>2</xdr:row>
      <xdr:rowOff>135853</xdr:rowOff>
    </xdr:from>
    <xdr:to>
      <xdr:col>18</xdr:col>
      <xdr:colOff>420511</xdr:colOff>
      <xdr:row>5</xdr:row>
      <xdr:rowOff>19436</xdr:rowOff>
    </xdr:to>
    <xdr:sp macro="" textlink="'Pivot Table'!E3">
      <xdr:nvSpPr>
        <xdr:cNvPr id="14" name="TextBox 13">
          <a:extLst>
            <a:ext uri="{FF2B5EF4-FFF2-40B4-BE49-F238E27FC236}">
              <a16:creationId xmlns:a16="http://schemas.microsoft.com/office/drawing/2014/main" id="{3CC7A517-6387-483F-A826-99328DC69C78}"/>
            </a:ext>
          </a:extLst>
        </xdr:cNvPr>
        <xdr:cNvSpPr txBox="1"/>
      </xdr:nvSpPr>
      <xdr:spPr>
        <a:xfrm>
          <a:off x="9543343" y="504153"/>
          <a:ext cx="1849968" cy="4360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AC6E664-4C70-4BC2-B3B7-12DC6200E82B}" type="TxLink">
            <a:rPr lang="en-US" sz="2400" b="1" i="0" u="none" strike="noStrike">
              <a:solidFill>
                <a:schemeClr val="bg1"/>
              </a:solidFill>
              <a:latin typeface="Aptos Narrow"/>
            </a:rPr>
            <a:pPr/>
            <a:t> 56.09 </a:t>
          </a:fld>
          <a:endParaRPr lang="en-US" sz="28700" b="1">
            <a:solidFill>
              <a:schemeClr val="bg1"/>
            </a:solidFill>
          </a:endParaRPr>
        </a:p>
      </xdr:txBody>
    </xdr:sp>
    <xdr:clientData/>
  </xdr:twoCellAnchor>
  <xdr:twoCellAnchor>
    <xdr:from>
      <xdr:col>2</xdr:col>
      <xdr:colOff>482298</xdr:colOff>
      <xdr:row>5</xdr:row>
      <xdr:rowOff>148167</xdr:rowOff>
    </xdr:from>
    <xdr:to>
      <xdr:col>15</xdr:col>
      <xdr:colOff>592667</xdr:colOff>
      <xdr:row>28</xdr:row>
      <xdr:rowOff>93738</xdr:rowOff>
    </xdr:to>
    <xdr:graphicFrame macro="">
      <xdr:nvGraphicFramePr>
        <xdr:cNvPr id="16" name="Chart 15">
          <a:extLst>
            <a:ext uri="{FF2B5EF4-FFF2-40B4-BE49-F238E27FC236}">
              <a16:creationId xmlns:a16="http://schemas.microsoft.com/office/drawing/2014/main" id="{0376CB3C-828E-4D77-A3C6-2C791B81A1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16</xdr:col>
      <xdr:colOff>151696</xdr:colOff>
      <xdr:row>6</xdr:row>
      <xdr:rowOff>23184</xdr:rowOff>
    </xdr:from>
    <xdr:to>
      <xdr:col>19</xdr:col>
      <xdr:colOff>166210</xdr:colOff>
      <xdr:row>16</xdr:row>
      <xdr:rowOff>116417</xdr:rowOff>
    </xdr:to>
    <mc:AlternateContent xmlns:mc="http://schemas.openxmlformats.org/markup-compatibility/2006" xmlns:a14="http://schemas.microsoft.com/office/drawing/2010/main">
      <mc:Choice Requires="a14">
        <xdr:graphicFrame macro="">
          <xdr:nvGraphicFramePr>
            <xdr:cNvPr id="17" name="Diagnosis 1">
              <a:extLst>
                <a:ext uri="{FF2B5EF4-FFF2-40B4-BE49-F238E27FC236}">
                  <a16:creationId xmlns:a16="http://schemas.microsoft.com/office/drawing/2014/main" id="{CEE120CF-BE92-431D-961A-1B0E4DEDA438}"/>
                </a:ext>
              </a:extLst>
            </xdr:cNvPr>
            <xdr:cNvGraphicFramePr/>
          </xdr:nvGraphicFramePr>
          <xdr:xfrm>
            <a:off x="0" y="0"/>
            <a:ext cx="0" cy="0"/>
          </xdr:xfrm>
          <a:graphic>
            <a:graphicData uri="http://schemas.microsoft.com/office/drawing/2010/slicer">
              <sle:slicer xmlns:sle="http://schemas.microsoft.com/office/drawing/2010/slicer" name="Diagnosis 1"/>
            </a:graphicData>
          </a:graphic>
        </xdr:graphicFrame>
      </mc:Choice>
      <mc:Fallback xmlns="">
        <xdr:sp macro="" textlink="">
          <xdr:nvSpPr>
            <xdr:cNvPr id="0" name=""/>
            <xdr:cNvSpPr>
              <a:spLocks noTextEdit="1"/>
            </xdr:cNvSpPr>
          </xdr:nvSpPr>
          <xdr:spPr>
            <a:xfrm>
              <a:off x="9973029" y="1102684"/>
              <a:ext cx="1856014" cy="1892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139699</xdr:colOff>
      <xdr:row>17</xdr:row>
      <xdr:rowOff>31749</xdr:rowOff>
    </xdr:from>
    <xdr:to>
      <xdr:col>19</xdr:col>
      <xdr:colOff>179916</xdr:colOff>
      <xdr:row>28</xdr:row>
      <xdr:rowOff>63498</xdr:rowOff>
    </xdr:to>
    <mc:AlternateContent xmlns:mc="http://schemas.openxmlformats.org/markup-compatibility/2006" xmlns:a14="http://schemas.microsoft.com/office/drawing/2010/main">
      <mc:Choice Requires="a14">
        <xdr:graphicFrame macro="">
          <xdr:nvGraphicFramePr>
            <xdr:cNvPr id="18" name="Surgery Status 2">
              <a:extLst>
                <a:ext uri="{FF2B5EF4-FFF2-40B4-BE49-F238E27FC236}">
                  <a16:creationId xmlns:a16="http://schemas.microsoft.com/office/drawing/2014/main" id="{0AE22B60-F8A3-47A4-8BD0-7D205B7016B2}"/>
                </a:ext>
              </a:extLst>
            </xdr:cNvPr>
            <xdr:cNvGraphicFramePr/>
          </xdr:nvGraphicFramePr>
          <xdr:xfrm>
            <a:off x="0" y="0"/>
            <a:ext cx="0" cy="0"/>
          </xdr:xfrm>
          <a:graphic>
            <a:graphicData uri="http://schemas.microsoft.com/office/drawing/2010/slicer">
              <sle:slicer xmlns:sle="http://schemas.microsoft.com/office/drawing/2010/slicer" name="Surgery Status 2"/>
            </a:graphicData>
          </a:graphic>
        </xdr:graphicFrame>
      </mc:Choice>
      <mc:Fallback xmlns="">
        <xdr:sp macro="" textlink="">
          <xdr:nvSpPr>
            <xdr:cNvPr id="0" name=""/>
            <xdr:cNvSpPr>
              <a:spLocks noTextEdit="1"/>
            </xdr:cNvSpPr>
          </xdr:nvSpPr>
          <xdr:spPr>
            <a:xfrm>
              <a:off x="9961032" y="3090332"/>
              <a:ext cx="1881717" cy="20108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1</xdr:colOff>
      <xdr:row>0</xdr:row>
      <xdr:rowOff>1</xdr:rowOff>
    </xdr:from>
    <xdr:to>
      <xdr:col>2</xdr:col>
      <xdr:colOff>312461</xdr:colOff>
      <xdr:row>28</xdr:row>
      <xdr:rowOff>90715</xdr:rowOff>
    </xdr:to>
    <xdr:sp macro="" textlink="">
      <xdr:nvSpPr>
        <xdr:cNvPr id="13" name="Rectangle: Rounded Corners 12">
          <a:extLst>
            <a:ext uri="{FF2B5EF4-FFF2-40B4-BE49-F238E27FC236}">
              <a16:creationId xmlns:a16="http://schemas.microsoft.com/office/drawing/2014/main" id="{EED8EB0A-5F6E-4B51-8E7A-22DAD48C59A1}"/>
            </a:ext>
          </a:extLst>
        </xdr:cNvPr>
        <xdr:cNvSpPr/>
      </xdr:nvSpPr>
      <xdr:spPr>
        <a:xfrm>
          <a:off x="1" y="1"/>
          <a:ext cx="1531660" cy="5246914"/>
        </a:xfrm>
        <a:prstGeom prst="roundRect">
          <a:avLst>
            <a:gd name="adj" fmla="val 0"/>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solidFill>
                <a:schemeClr val="bg1"/>
              </a:solidFill>
            </a:rPr>
            <a:t>IN-PATIENT REVENUE</a:t>
          </a:r>
        </a:p>
        <a:p>
          <a:pPr algn="l"/>
          <a:r>
            <a:rPr lang="en-US" sz="2000" b="1">
              <a:solidFill>
                <a:schemeClr val="bg1"/>
              </a:solidFill>
            </a:rPr>
            <a:t>ANALYSIS</a:t>
          </a:r>
        </a:p>
        <a:p>
          <a:pPr algn="l"/>
          <a:endParaRPr lang="en-US" sz="1600" b="1">
            <a:solidFill>
              <a:schemeClr val="bg1"/>
            </a:solidFill>
          </a:endParaRPr>
        </a:p>
        <a:p>
          <a:pPr algn="l"/>
          <a:endParaRPr lang="en-US" sz="1600" b="1">
            <a:solidFill>
              <a:schemeClr val="bg1"/>
            </a:solidFill>
          </a:endParaRPr>
        </a:p>
        <a:p>
          <a:pPr algn="l"/>
          <a:endParaRPr lang="en-US" sz="1600" b="1">
            <a:solidFill>
              <a:schemeClr val="bg1"/>
            </a:solidFill>
          </a:endParaRPr>
        </a:p>
        <a:p>
          <a:pPr algn="l"/>
          <a:r>
            <a:rPr lang="en-US" sz="1100" b="1">
              <a:solidFill>
                <a:schemeClr val="bg1"/>
              </a:solidFill>
            </a:rPr>
            <a:t>Table</a:t>
          </a:r>
        </a:p>
        <a:p>
          <a:pPr algn="l"/>
          <a:endParaRPr lang="en-US" sz="1100" b="1">
            <a:solidFill>
              <a:schemeClr val="bg1"/>
            </a:solidFill>
          </a:endParaRPr>
        </a:p>
        <a:p>
          <a:pPr algn="l"/>
          <a:endParaRPr lang="en-US" sz="1100" b="1">
            <a:solidFill>
              <a:schemeClr val="bg1"/>
            </a:solidFill>
          </a:endParaRPr>
        </a:p>
        <a:p>
          <a:pPr algn="l"/>
          <a:endParaRPr lang="en-US" sz="1100" b="1">
            <a:solidFill>
              <a:schemeClr val="bg1"/>
            </a:solidFill>
          </a:endParaRPr>
        </a:p>
        <a:p>
          <a:pPr algn="l"/>
          <a:endParaRPr lang="en-US" sz="1100" b="1">
            <a:solidFill>
              <a:schemeClr val="bg1"/>
            </a:solidFill>
          </a:endParaRPr>
        </a:p>
        <a:p>
          <a:pPr algn="l"/>
          <a:endParaRPr lang="en-US" sz="1100" b="1">
            <a:solidFill>
              <a:schemeClr val="bg1"/>
            </a:solidFill>
          </a:endParaRPr>
        </a:p>
        <a:p>
          <a:pPr algn="l"/>
          <a:r>
            <a:rPr lang="en-US" sz="1100" b="1">
              <a:solidFill>
                <a:schemeClr val="bg1"/>
              </a:solidFill>
            </a:rPr>
            <a:t>Introduction</a:t>
          </a:r>
        </a:p>
        <a:p>
          <a:pPr algn="l"/>
          <a:endParaRPr lang="en-US" sz="1100" b="1">
            <a:solidFill>
              <a:schemeClr val="bg1"/>
            </a:solidFill>
          </a:endParaRPr>
        </a:p>
        <a:p>
          <a:pPr algn="l"/>
          <a:endParaRPr lang="en-US" sz="1100" b="1">
            <a:solidFill>
              <a:schemeClr val="bg1"/>
            </a:solidFill>
          </a:endParaRPr>
        </a:p>
        <a:p>
          <a:pPr algn="l"/>
          <a:endParaRPr lang="en-US" sz="1100" b="1">
            <a:solidFill>
              <a:schemeClr val="bg1"/>
            </a:solidFill>
          </a:endParaRPr>
        </a:p>
        <a:p>
          <a:pPr algn="l"/>
          <a:endParaRPr lang="en-US" sz="1100" b="1">
            <a:solidFill>
              <a:schemeClr val="bg1"/>
            </a:solidFill>
          </a:endParaRPr>
        </a:p>
        <a:p>
          <a:pPr algn="l"/>
          <a:endParaRPr lang="en-US" sz="1100" b="1">
            <a:solidFill>
              <a:schemeClr val="bg1"/>
            </a:solidFill>
          </a:endParaRPr>
        </a:p>
        <a:p>
          <a:pPr algn="l"/>
          <a:r>
            <a:rPr lang="en-US" sz="1100" b="1">
              <a:solidFill>
                <a:schemeClr val="bg1"/>
              </a:solidFill>
            </a:rPr>
            <a:t>Admission Analysis</a:t>
          </a:r>
        </a:p>
        <a:p>
          <a:pPr algn="l"/>
          <a:endParaRPr lang="en-US" sz="1100" b="1">
            <a:solidFill>
              <a:schemeClr val="bg1"/>
            </a:solidFill>
          </a:endParaRPr>
        </a:p>
        <a:p>
          <a:pPr algn="l"/>
          <a:endParaRPr lang="en-US" sz="1100" b="1">
            <a:solidFill>
              <a:schemeClr val="bg1"/>
            </a:solidFill>
          </a:endParaRPr>
        </a:p>
        <a:p>
          <a:pPr algn="l"/>
          <a:endParaRPr lang="en-US" sz="1100" b="1">
            <a:solidFill>
              <a:schemeClr val="bg1"/>
            </a:solidFill>
          </a:endParaRPr>
        </a:p>
        <a:p>
          <a:pPr algn="l"/>
          <a:endParaRPr lang="en-US" sz="1100" b="1">
            <a:solidFill>
              <a:schemeClr val="bg1"/>
            </a:solidFill>
          </a:endParaRPr>
        </a:p>
        <a:p>
          <a:pPr algn="l"/>
          <a:endParaRPr lang="en-US" sz="1100" b="1">
            <a:solidFill>
              <a:schemeClr val="bg1"/>
            </a:solidFill>
          </a:endParaRPr>
        </a:p>
        <a:p>
          <a:pPr algn="l"/>
          <a:r>
            <a:rPr lang="en-US" sz="1100" b="1">
              <a:solidFill>
                <a:schemeClr val="bg1"/>
              </a:solidFill>
            </a:rPr>
            <a:t>Surgical Analysis</a:t>
          </a:r>
        </a:p>
      </xdr:txBody>
    </xdr:sp>
    <xdr:clientData/>
  </xdr:twoCellAnchor>
  <xdr:twoCellAnchor editAs="oneCell">
    <xdr:from>
      <xdr:col>0</xdr:col>
      <xdr:colOff>344037</xdr:colOff>
      <xdr:row>17</xdr:row>
      <xdr:rowOff>34856</xdr:rowOff>
    </xdr:from>
    <xdr:to>
      <xdr:col>1</xdr:col>
      <xdr:colOff>377981</xdr:colOff>
      <xdr:row>20</xdr:row>
      <xdr:rowOff>105911</xdr:rowOff>
    </xdr:to>
    <xdr:pic>
      <xdr:nvPicPr>
        <xdr:cNvPr id="14" name="Graphic 13" descr="Statistics with solid fill">
          <a:hlinkClick xmlns:r="http://schemas.openxmlformats.org/officeDocument/2006/relationships" r:id="rId1"/>
          <a:extLst>
            <a:ext uri="{FF2B5EF4-FFF2-40B4-BE49-F238E27FC236}">
              <a16:creationId xmlns:a16="http://schemas.microsoft.com/office/drawing/2014/main" id="{CFFB035A-4FCB-4592-AA2D-D0A2FDC72012}"/>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344037" y="3165406"/>
          <a:ext cx="643544" cy="623505"/>
        </a:xfrm>
        <a:prstGeom prst="rect">
          <a:avLst/>
        </a:prstGeom>
      </xdr:spPr>
    </xdr:pic>
    <xdr:clientData/>
  </xdr:twoCellAnchor>
  <xdr:twoCellAnchor editAs="oneCell">
    <xdr:from>
      <xdr:col>0</xdr:col>
      <xdr:colOff>318986</xdr:colOff>
      <xdr:row>22</xdr:row>
      <xdr:rowOff>145527</xdr:rowOff>
    </xdr:from>
    <xdr:to>
      <xdr:col>1</xdr:col>
      <xdr:colOff>352930</xdr:colOff>
      <xdr:row>26</xdr:row>
      <xdr:rowOff>41338</xdr:rowOff>
    </xdr:to>
    <xdr:pic>
      <xdr:nvPicPr>
        <xdr:cNvPr id="15" name="Graphic 14" descr="Research with solid fill">
          <a:hlinkClick xmlns:r="http://schemas.openxmlformats.org/officeDocument/2006/relationships" r:id="rId4"/>
          <a:extLst>
            <a:ext uri="{FF2B5EF4-FFF2-40B4-BE49-F238E27FC236}">
              <a16:creationId xmlns:a16="http://schemas.microsoft.com/office/drawing/2014/main" id="{141EFEB4-3994-452B-AA99-ADA629F29EE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18986" y="4196827"/>
          <a:ext cx="643544" cy="632411"/>
        </a:xfrm>
        <a:prstGeom prst="rect">
          <a:avLst/>
        </a:prstGeom>
      </xdr:spPr>
    </xdr:pic>
    <xdr:clientData/>
  </xdr:twoCellAnchor>
  <xdr:twoCellAnchor editAs="oneCell">
    <xdr:from>
      <xdr:col>0</xdr:col>
      <xdr:colOff>365687</xdr:colOff>
      <xdr:row>11</xdr:row>
      <xdr:rowOff>58370</xdr:rowOff>
    </xdr:from>
    <xdr:to>
      <xdr:col>1</xdr:col>
      <xdr:colOff>399631</xdr:colOff>
      <xdr:row>14</xdr:row>
      <xdr:rowOff>135610</xdr:rowOff>
    </xdr:to>
    <xdr:pic>
      <xdr:nvPicPr>
        <xdr:cNvPr id="16" name="Graphic 15" descr="Supply And Demand with solid fill">
          <a:hlinkClick xmlns:r="http://schemas.openxmlformats.org/officeDocument/2006/relationships" r:id="rId7"/>
          <a:extLst>
            <a:ext uri="{FF2B5EF4-FFF2-40B4-BE49-F238E27FC236}">
              <a16:creationId xmlns:a16="http://schemas.microsoft.com/office/drawing/2014/main" id="{1390FD59-DCD9-4325-8DFE-6BFA40610F7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65687" y="2084020"/>
          <a:ext cx="643544" cy="629690"/>
        </a:xfrm>
        <a:prstGeom prst="rect">
          <a:avLst/>
        </a:prstGeom>
      </xdr:spPr>
    </xdr:pic>
    <xdr:clientData/>
  </xdr:twoCellAnchor>
  <xdr:twoCellAnchor editAs="oneCell">
    <xdr:from>
      <xdr:col>0</xdr:col>
      <xdr:colOff>420961</xdr:colOff>
      <xdr:row>6</xdr:row>
      <xdr:rowOff>90712</xdr:rowOff>
    </xdr:from>
    <xdr:to>
      <xdr:col>1</xdr:col>
      <xdr:colOff>457039</xdr:colOff>
      <xdr:row>9</xdr:row>
      <xdr:rowOff>170498</xdr:rowOff>
    </xdr:to>
    <xdr:pic>
      <xdr:nvPicPr>
        <xdr:cNvPr id="17" name="Graphic 16" descr="Table with solid fill">
          <a:hlinkClick xmlns:r="http://schemas.openxmlformats.org/officeDocument/2006/relationships" r:id="rId10"/>
          <a:extLst>
            <a:ext uri="{FF2B5EF4-FFF2-40B4-BE49-F238E27FC236}">
              <a16:creationId xmlns:a16="http://schemas.microsoft.com/office/drawing/2014/main" id="{90270CAD-A553-446D-9BF1-132B6903EE72}"/>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420961" y="1195612"/>
          <a:ext cx="645678" cy="632236"/>
        </a:xfrm>
        <a:prstGeom prst="rect">
          <a:avLst/>
        </a:prstGeom>
      </xdr:spPr>
    </xdr:pic>
    <xdr:clientData/>
  </xdr:twoCellAnchor>
  <xdr:twoCellAnchor>
    <xdr:from>
      <xdr:col>2</xdr:col>
      <xdr:colOff>466329</xdr:colOff>
      <xdr:row>0</xdr:row>
      <xdr:rowOff>84045</xdr:rowOff>
    </xdr:from>
    <xdr:to>
      <xdr:col>6</xdr:col>
      <xdr:colOff>309803</xdr:colOff>
      <xdr:row>5</xdr:row>
      <xdr:rowOff>84045</xdr:rowOff>
    </xdr:to>
    <xdr:sp macro="" textlink="">
      <xdr:nvSpPr>
        <xdr:cNvPr id="18" name="Rectangle: Rounded Corners 17">
          <a:extLst>
            <a:ext uri="{FF2B5EF4-FFF2-40B4-BE49-F238E27FC236}">
              <a16:creationId xmlns:a16="http://schemas.microsoft.com/office/drawing/2014/main" id="{B741BCEE-F2D0-480E-BE7B-CCF262C68C34}"/>
            </a:ext>
          </a:extLst>
        </xdr:cNvPr>
        <xdr:cNvSpPr/>
      </xdr:nvSpPr>
      <xdr:spPr>
        <a:xfrm>
          <a:off x="1685529" y="84045"/>
          <a:ext cx="2281874" cy="920750"/>
        </a:xfrm>
        <a:prstGeom prst="roundRect">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solidFill>
                <a:schemeClr val="bg1"/>
              </a:solidFill>
            </a:rPr>
            <a:t>Total Revenue</a:t>
          </a:r>
          <a:endParaRPr lang="en-US" sz="2000" b="1" baseline="0">
            <a:solidFill>
              <a:schemeClr val="bg1"/>
            </a:solidFill>
          </a:endParaRPr>
        </a:p>
        <a:p>
          <a:pPr algn="l"/>
          <a:endParaRPr lang="en-US" sz="2000" b="1">
            <a:solidFill>
              <a:schemeClr val="bg1"/>
            </a:solidFill>
          </a:endParaRPr>
        </a:p>
      </xdr:txBody>
    </xdr:sp>
    <xdr:clientData/>
  </xdr:twoCellAnchor>
  <xdr:twoCellAnchor>
    <xdr:from>
      <xdr:col>11</xdr:col>
      <xdr:colOff>195785</xdr:colOff>
      <xdr:row>0</xdr:row>
      <xdr:rowOff>77695</xdr:rowOff>
    </xdr:from>
    <xdr:to>
      <xdr:col>15</xdr:col>
      <xdr:colOff>37036</xdr:colOff>
      <xdr:row>5</xdr:row>
      <xdr:rowOff>77695</xdr:rowOff>
    </xdr:to>
    <xdr:sp macro="" textlink="">
      <xdr:nvSpPr>
        <xdr:cNvPr id="19" name="Rectangle: Rounded Corners 18">
          <a:extLst>
            <a:ext uri="{FF2B5EF4-FFF2-40B4-BE49-F238E27FC236}">
              <a16:creationId xmlns:a16="http://schemas.microsoft.com/office/drawing/2014/main" id="{45307704-1D33-4166-8951-EB4AEF43800D}"/>
            </a:ext>
          </a:extLst>
        </xdr:cNvPr>
        <xdr:cNvSpPr/>
      </xdr:nvSpPr>
      <xdr:spPr>
        <a:xfrm>
          <a:off x="6901385" y="77695"/>
          <a:ext cx="2279651" cy="920750"/>
        </a:xfrm>
        <a:prstGeom prst="roundRect">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solidFill>
                <a:schemeClr val="bg1"/>
              </a:solidFill>
            </a:rPr>
            <a:t>Patient</a:t>
          </a:r>
          <a:r>
            <a:rPr lang="en-US" sz="2000" b="1" baseline="0">
              <a:solidFill>
                <a:schemeClr val="bg1"/>
              </a:solidFill>
            </a:rPr>
            <a:t> Count</a:t>
          </a:r>
        </a:p>
        <a:p>
          <a:pPr algn="l"/>
          <a:endParaRPr lang="en-US" sz="2000" b="1">
            <a:solidFill>
              <a:schemeClr val="bg1"/>
            </a:solidFill>
          </a:endParaRPr>
        </a:p>
      </xdr:txBody>
    </xdr:sp>
    <xdr:clientData/>
  </xdr:twoCellAnchor>
  <xdr:twoCellAnchor>
    <xdr:from>
      <xdr:col>7</xdr:col>
      <xdr:colOff>29100</xdr:colOff>
      <xdr:row>0</xdr:row>
      <xdr:rowOff>52668</xdr:rowOff>
    </xdr:from>
    <xdr:to>
      <xdr:col>10</xdr:col>
      <xdr:colOff>475113</xdr:colOff>
      <xdr:row>5</xdr:row>
      <xdr:rowOff>52668</xdr:rowOff>
    </xdr:to>
    <xdr:sp macro="" textlink="">
      <xdr:nvSpPr>
        <xdr:cNvPr id="20" name="Rectangle: Rounded Corners 19">
          <a:extLst>
            <a:ext uri="{FF2B5EF4-FFF2-40B4-BE49-F238E27FC236}">
              <a16:creationId xmlns:a16="http://schemas.microsoft.com/office/drawing/2014/main" id="{0CEB1C84-5E48-4685-8551-8D66D89D4940}"/>
            </a:ext>
          </a:extLst>
        </xdr:cNvPr>
        <xdr:cNvSpPr/>
      </xdr:nvSpPr>
      <xdr:spPr>
        <a:xfrm>
          <a:off x="4296300" y="52668"/>
          <a:ext cx="2274813" cy="920750"/>
        </a:xfrm>
        <a:prstGeom prst="roundRect">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t>Surgical</a:t>
          </a:r>
          <a:r>
            <a:rPr lang="en-US" sz="2000" b="1" baseline="0"/>
            <a:t> Revenue</a:t>
          </a:r>
          <a:endParaRPr lang="en-US" sz="2000" b="1"/>
        </a:p>
      </xdr:txBody>
    </xdr:sp>
    <xdr:clientData/>
  </xdr:twoCellAnchor>
  <xdr:twoCellAnchor>
    <xdr:from>
      <xdr:col>15</xdr:col>
      <xdr:colOff>362471</xdr:colOff>
      <xdr:row>0</xdr:row>
      <xdr:rowOff>71345</xdr:rowOff>
    </xdr:from>
    <xdr:to>
      <xdr:col>19</xdr:col>
      <xdr:colOff>203721</xdr:colOff>
      <xdr:row>5</xdr:row>
      <xdr:rowOff>71345</xdr:rowOff>
    </xdr:to>
    <xdr:sp macro="" textlink="">
      <xdr:nvSpPr>
        <xdr:cNvPr id="21" name="Rectangle: Rounded Corners 20">
          <a:extLst>
            <a:ext uri="{FF2B5EF4-FFF2-40B4-BE49-F238E27FC236}">
              <a16:creationId xmlns:a16="http://schemas.microsoft.com/office/drawing/2014/main" id="{FDEB8995-DDFF-4135-BF64-DBA8A4871139}"/>
            </a:ext>
          </a:extLst>
        </xdr:cNvPr>
        <xdr:cNvSpPr/>
      </xdr:nvSpPr>
      <xdr:spPr>
        <a:xfrm>
          <a:off x="9506471" y="71345"/>
          <a:ext cx="2279650" cy="920750"/>
        </a:xfrm>
        <a:prstGeom prst="roundRect">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solidFill>
                <a:schemeClr val="bg1"/>
              </a:solidFill>
            </a:rPr>
            <a:t>% Revenue</a:t>
          </a:r>
          <a:r>
            <a:rPr lang="en-US" sz="2000" b="1" baseline="0">
              <a:solidFill>
                <a:schemeClr val="bg1"/>
              </a:solidFill>
            </a:rPr>
            <a:t> Ratio</a:t>
          </a:r>
          <a:endParaRPr lang="en-US" sz="2000" b="1">
            <a:solidFill>
              <a:schemeClr val="bg1"/>
            </a:solidFill>
          </a:endParaRPr>
        </a:p>
      </xdr:txBody>
    </xdr:sp>
    <xdr:clientData/>
  </xdr:twoCellAnchor>
  <xdr:twoCellAnchor>
    <xdr:from>
      <xdr:col>2</xdr:col>
      <xdr:colOff>496912</xdr:colOff>
      <xdr:row>2</xdr:row>
      <xdr:rowOff>96763</xdr:rowOff>
    </xdr:from>
    <xdr:to>
      <xdr:col>5</xdr:col>
      <xdr:colOff>518078</xdr:colOff>
      <xdr:row>4</xdr:row>
      <xdr:rowOff>161775</xdr:rowOff>
    </xdr:to>
    <xdr:sp macro="" textlink="'Pivot Table'!D3">
      <xdr:nvSpPr>
        <xdr:cNvPr id="22" name="TextBox 21">
          <a:extLst>
            <a:ext uri="{FF2B5EF4-FFF2-40B4-BE49-F238E27FC236}">
              <a16:creationId xmlns:a16="http://schemas.microsoft.com/office/drawing/2014/main" id="{0ACDB53C-0A3E-47F6-BF35-A923E4854D34}"/>
            </a:ext>
          </a:extLst>
        </xdr:cNvPr>
        <xdr:cNvSpPr txBox="1"/>
      </xdr:nvSpPr>
      <xdr:spPr>
        <a:xfrm>
          <a:off x="1716112" y="465063"/>
          <a:ext cx="1849966" cy="4333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A5990B5-586E-4CCE-8A77-9EDD79B1C6F2}" type="TxLink">
            <a:rPr lang="en-US" sz="2400" b="1" i="0" u="none" strike="noStrike">
              <a:solidFill>
                <a:schemeClr val="bg1"/>
              </a:solidFill>
              <a:latin typeface="Aptos Narrow"/>
            </a:rPr>
            <a:pPr/>
            <a:t>₦104,993,332</a:t>
          </a:fld>
          <a:endParaRPr lang="en-US" sz="5400" b="1">
            <a:solidFill>
              <a:schemeClr val="bg1"/>
            </a:solidFill>
          </a:endParaRPr>
        </a:p>
      </xdr:txBody>
    </xdr:sp>
    <xdr:clientData/>
  </xdr:twoCellAnchor>
  <xdr:twoCellAnchor>
    <xdr:from>
      <xdr:col>7</xdr:col>
      <xdr:colOff>75843</xdr:colOff>
      <xdr:row>2</xdr:row>
      <xdr:rowOff>95001</xdr:rowOff>
    </xdr:from>
    <xdr:to>
      <xdr:col>10</xdr:col>
      <xdr:colOff>97010</xdr:colOff>
      <xdr:row>4</xdr:row>
      <xdr:rowOff>158500</xdr:rowOff>
    </xdr:to>
    <xdr:sp macro="" textlink="'Pivot Table'!B3">
      <xdr:nvSpPr>
        <xdr:cNvPr id="23" name="TextBox 22">
          <a:extLst>
            <a:ext uri="{FF2B5EF4-FFF2-40B4-BE49-F238E27FC236}">
              <a16:creationId xmlns:a16="http://schemas.microsoft.com/office/drawing/2014/main" id="{60FE8F11-6450-499E-88EF-197819BFB183}"/>
            </a:ext>
          </a:extLst>
        </xdr:cNvPr>
        <xdr:cNvSpPr txBox="1"/>
      </xdr:nvSpPr>
      <xdr:spPr>
        <a:xfrm>
          <a:off x="4343043" y="463301"/>
          <a:ext cx="1849967" cy="4317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3C604A7-810A-4DB7-98A1-5969E8D9BAB8}" type="TxLink">
            <a:rPr lang="en-US" sz="2400" b="1" i="0" u="none" strike="noStrike">
              <a:solidFill>
                <a:schemeClr val="bg1"/>
              </a:solidFill>
              <a:latin typeface="Aptos Narrow"/>
            </a:rPr>
            <a:pPr/>
            <a:t>₦58,888,000</a:t>
          </a:fld>
          <a:endParaRPr lang="en-US" sz="9600" b="1">
            <a:solidFill>
              <a:schemeClr val="bg1"/>
            </a:solidFill>
          </a:endParaRPr>
        </a:p>
      </xdr:txBody>
    </xdr:sp>
    <xdr:clientData/>
  </xdr:twoCellAnchor>
  <xdr:twoCellAnchor>
    <xdr:from>
      <xdr:col>11</xdr:col>
      <xdr:colOff>256744</xdr:colOff>
      <xdr:row>2</xdr:row>
      <xdr:rowOff>98862</xdr:rowOff>
    </xdr:from>
    <xdr:to>
      <xdr:col>14</xdr:col>
      <xdr:colOff>277911</xdr:colOff>
      <xdr:row>4</xdr:row>
      <xdr:rowOff>162361</xdr:rowOff>
    </xdr:to>
    <xdr:sp macro="" textlink="'Pivot Table'!A3">
      <xdr:nvSpPr>
        <xdr:cNvPr id="24" name="TextBox 23">
          <a:extLst>
            <a:ext uri="{FF2B5EF4-FFF2-40B4-BE49-F238E27FC236}">
              <a16:creationId xmlns:a16="http://schemas.microsoft.com/office/drawing/2014/main" id="{40BA8DF9-759E-4146-858B-4E7CDCA12B35}"/>
            </a:ext>
          </a:extLst>
        </xdr:cNvPr>
        <xdr:cNvSpPr txBox="1"/>
      </xdr:nvSpPr>
      <xdr:spPr>
        <a:xfrm>
          <a:off x="6962344" y="467162"/>
          <a:ext cx="1849967" cy="4317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9CE7923-6009-440F-998B-4AC60B336F40}" type="TxLink">
            <a:rPr lang="en-US" sz="2400" b="1" i="0" u="none" strike="noStrike">
              <a:solidFill>
                <a:schemeClr val="bg1"/>
              </a:solidFill>
              <a:latin typeface="Aptos Narrow"/>
            </a:rPr>
            <a:pPr/>
            <a:t>300</a:t>
          </a:fld>
          <a:endParaRPr lang="en-US" sz="28700" b="1">
            <a:solidFill>
              <a:schemeClr val="bg1"/>
            </a:solidFill>
          </a:endParaRPr>
        </a:p>
      </xdr:txBody>
    </xdr:sp>
    <xdr:clientData/>
  </xdr:twoCellAnchor>
  <xdr:twoCellAnchor>
    <xdr:from>
      <xdr:col>15</xdr:col>
      <xdr:colOff>399343</xdr:colOff>
      <xdr:row>2</xdr:row>
      <xdr:rowOff>135853</xdr:rowOff>
    </xdr:from>
    <xdr:to>
      <xdr:col>18</xdr:col>
      <xdr:colOff>420511</xdr:colOff>
      <xdr:row>5</xdr:row>
      <xdr:rowOff>19436</xdr:rowOff>
    </xdr:to>
    <xdr:sp macro="" textlink="'Pivot Table'!E3">
      <xdr:nvSpPr>
        <xdr:cNvPr id="25" name="TextBox 24">
          <a:extLst>
            <a:ext uri="{FF2B5EF4-FFF2-40B4-BE49-F238E27FC236}">
              <a16:creationId xmlns:a16="http://schemas.microsoft.com/office/drawing/2014/main" id="{C1E7CC43-A4BE-4BD7-91D8-E7245ADC88FC}"/>
            </a:ext>
          </a:extLst>
        </xdr:cNvPr>
        <xdr:cNvSpPr txBox="1"/>
      </xdr:nvSpPr>
      <xdr:spPr>
        <a:xfrm>
          <a:off x="9543343" y="504153"/>
          <a:ext cx="1849968" cy="4360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AC6E664-4C70-4BC2-B3B7-12DC6200E82B}" type="TxLink">
            <a:rPr lang="en-US" sz="2400" b="1" i="0" u="none" strike="noStrike">
              <a:solidFill>
                <a:schemeClr val="bg1"/>
              </a:solidFill>
              <a:latin typeface="Aptos Narrow"/>
            </a:rPr>
            <a:pPr/>
            <a:t> 56.09 </a:t>
          </a:fld>
          <a:endParaRPr lang="en-US" sz="28700" b="1">
            <a:solidFill>
              <a:schemeClr val="bg1"/>
            </a:solidFill>
          </a:endParaRPr>
        </a:p>
      </xdr:txBody>
    </xdr:sp>
    <xdr:clientData/>
  </xdr:twoCellAnchor>
  <xdr:twoCellAnchor editAs="oneCell">
    <xdr:from>
      <xdr:col>16</xdr:col>
      <xdr:colOff>78154</xdr:colOff>
      <xdr:row>6</xdr:row>
      <xdr:rowOff>36145</xdr:rowOff>
    </xdr:from>
    <xdr:to>
      <xdr:col>19</xdr:col>
      <xdr:colOff>126999</xdr:colOff>
      <xdr:row>12</xdr:row>
      <xdr:rowOff>107461</xdr:rowOff>
    </xdr:to>
    <mc:AlternateContent xmlns:mc="http://schemas.openxmlformats.org/markup-compatibility/2006" xmlns:a14="http://schemas.microsoft.com/office/drawing/2010/main">
      <mc:Choice Requires="a14">
        <xdr:graphicFrame macro="">
          <xdr:nvGraphicFramePr>
            <xdr:cNvPr id="30" name="Surgery Status">
              <a:extLst>
                <a:ext uri="{FF2B5EF4-FFF2-40B4-BE49-F238E27FC236}">
                  <a16:creationId xmlns:a16="http://schemas.microsoft.com/office/drawing/2014/main" id="{2E13EBCB-E951-CA70-6CE2-0E192F280ACF}"/>
                </a:ext>
              </a:extLst>
            </xdr:cNvPr>
            <xdr:cNvGraphicFramePr/>
          </xdr:nvGraphicFramePr>
          <xdr:xfrm>
            <a:off x="0" y="0"/>
            <a:ext cx="0" cy="0"/>
          </xdr:xfrm>
          <a:graphic>
            <a:graphicData uri="http://schemas.microsoft.com/office/drawing/2010/slicer">
              <sle:slicer xmlns:sle="http://schemas.microsoft.com/office/drawing/2010/slicer" name="Surgery Status"/>
            </a:graphicData>
          </a:graphic>
        </xdr:graphicFrame>
      </mc:Choice>
      <mc:Fallback xmlns="">
        <xdr:sp macro="" textlink="">
          <xdr:nvSpPr>
            <xdr:cNvPr id="0" name=""/>
            <xdr:cNvSpPr>
              <a:spLocks noTextEdit="1"/>
            </xdr:cNvSpPr>
          </xdr:nvSpPr>
          <xdr:spPr>
            <a:xfrm>
              <a:off x="9887809" y="1152869"/>
              <a:ext cx="1888156" cy="11880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527538</xdr:colOff>
      <xdr:row>5</xdr:row>
      <xdr:rowOff>175846</xdr:rowOff>
    </xdr:from>
    <xdr:to>
      <xdr:col>9</xdr:col>
      <xdr:colOff>263769</xdr:colOff>
      <xdr:row>28</xdr:row>
      <xdr:rowOff>39077</xdr:rowOff>
    </xdr:to>
    <xdr:graphicFrame macro="">
      <xdr:nvGraphicFramePr>
        <xdr:cNvPr id="33" name="Chart 32">
          <a:extLst>
            <a:ext uri="{FF2B5EF4-FFF2-40B4-BE49-F238E27FC236}">
              <a16:creationId xmlns:a16="http://schemas.microsoft.com/office/drawing/2014/main" id="{59AC4C31-C095-41C3-99E5-CB3BC30A2D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9</xdr:col>
      <xdr:colOff>410309</xdr:colOff>
      <xdr:row>6</xdr:row>
      <xdr:rowOff>3</xdr:rowOff>
    </xdr:from>
    <xdr:to>
      <xdr:col>15</xdr:col>
      <xdr:colOff>547077</xdr:colOff>
      <xdr:row>28</xdr:row>
      <xdr:rowOff>39077</xdr:rowOff>
    </xdr:to>
    <xdr:graphicFrame macro="">
      <xdr:nvGraphicFramePr>
        <xdr:cNvPr id="34" name="Chart 33">
          <a:extLst>
            <a:ext uri="{FF2B5EF4-FFF2-40B4-BE49-F238E27FC236}">
              <a16:creationId xmlns:a16="http://schemas.microsoft.com/office/drawing/2014/main" id="{07895C61-BE50-47DA-BF2B-9641BA0304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16</xdr:col>
      <xdr:colOff>70826</xdr:colOff>
      <xdr:row>14</xdr:row>
      <xdr:rowOff>82065</xdr:rowOff>
    </xdr:from>
    <xdr:to>
      <xdr:col>19</xdr:col>
      <xdr:colOff>185614</xdr:colOff>
      <xdr:row>26</xdr:row>
      <xdr:rowOff>136769</xdr:rowOff>
    </xdr:to>
    <mc:AlternateContent xmlns:mc="http://schemas.openxmlformats.org/markup-compatibility/2006" xmlns:a14="http://schemas.microsoft.com/office/drawing/2010/main">
      <mc:Choice Requires="a14">
        <xdr:graphicFrame macro="">
          <xdr:nvGraphicFramePr>
            <xdr:cNvPr id="36" name="Age_Demographic">
              <a:extLst>
                <a:ext uri="{FF2B5EF4-FFF2-40B4-BE49-F238E27FC236}">
                  <a16:creationId xmlns:a16="http://schemas.microsoft.com/office/drawing/2014/main" id="{636346FC-2ACB-03D7-374B-E6EC59F04681}"/>
                </a:ext>
              </a:extLst>
            </xdr:cNvPr>
            <xdr:cNvGraphicFramePr/>
          </xdr:nvGraphicFramePr>
          <xdr:xfrm>
            <a:off x="0" y="0"/>
            <a:ext cx="0" cy="0"/>
          </xdr:xfrm>
          <a:graphic>
            <a:graphicData uri="http://schemas.microsoft.com/office/drawing/2010/slicer">
              <sle:slicer xmlns:sle="http://schemas.microsoft.com/office/drawing/2010/slicer" name="Age_Demographic"/>
            </a:graphicData>
          </a:graphic>
        </xdr:graphicFrame>
      </mc:Choice>
      <mc:Fallback xmlns="">
        <xdr:sp macro="" textlink="">
          <xdr:nvSpPr>
            <xdr:cNvPr id="0" name=""/>
            <xdr:cNvSpPr>
              <a:spLocks noTextEdit="1"/>
            </xdr:cNvSpPr>
          </xdr:nvSpPr>
          <xdr:spPr>
            <a:xfrm>
              <a:off x="9880481" y="2687755"/>
              <a:ext cx="1954099" cy="22881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lly" refreshedDate="46050.43114270833" createdVersion="8" refreshedVersion="8" minRefreshableVersion="3" recordCount="300" xr:uid="{C9E0BCB9-EF4F-4B48-BF1F-AC02A1BF1995}">
  <cacheSource type="worksheet">
    <worksheetSource name="Table1"/>
  </cacheSource>
  <cacheFields count="15">
    <cacheField name="Patient_ID" numFmtId="0">
      <sharedItems count="600">
        <s v="HOSP-ID-1000"/>
        <s v="HOSP-ID-1001"/>
        <s v="HOSP-ID-1002"/>
        <s v="HOSP-ID-1003"/>
        <s v="HOSP-ID-1004"/>
        <s v="HOSP-ID-1005"/>
        <s v="HOSP-ID-1006"/>
        <s v="HOSP-ID-1007"/>
        <s v="HOSP-ID-1008"/>
        <s v="HOSP-ID-1009"/>
        <s v="HOSP-ID-1010"/>
        <s v="HOSP-ID-1011"/>
        <s v="HOSP-ID-1012"/>
        <s v="HOSP-ID-1013"/>
        <s v="HOSP-ID-1014"/>
        <s v="HOSP-ID-1015"/>
        <s v="HOSP-ID-1016"/>
        <s v="HOSP-ID-1017"/>
        <s v="HOSP-ID-1018"/>
        <s v="HOSP-ID-1019"/>
        <s v="HOSP-ID-1020"/>
        <s v="HOSP-ID-1021"/>
        <s v="HOSP-ID-1022"/>
        <s v="HOSP-ID-1023"/>
        <s v="HOSP-ID-1024"/>
        <s v="HOSP-ID-1025"/>
        <s v="HOSP-ID-1026"/>
        <s v="HOSP-ID-1027"/>
        <s v="HOSP-ID-1028"/>
        <s v="HOSP-ID-1029"/>
        <s v="HOSP-ID-1030"/>
        <s v="HOSP-ID-1031"/>
        <s v="HOSP-ID-1032"/>
        <s v="HOSP-ID-1033"/>
        <s v="HOSP-ID-1034"/>
        <s v="HOSP-ID-1035"/>
        <s v="HOSP-ID-1036"/>
        <s v="HOSP-ID-1037"/>
        <s v="HOSP-ID-1038"/>
        <s v="HOSP-ID-1039"/>
        <s v="HOSP-ID-1040"/>
        <s v="HOSP-ID-1041"/>
        <s v="HOSP-ID-1042"/>
        <s v="HOSP-ID-1043"/>
        <s v="HOSP-ID-1044"/>
        <s v="HOSP-ID-1045"/>
        <s v="HOSP-ID-1046"/>
        <s v="HOSP-ID-1047"/>
        <s v="HOSP-ID-1048"/>
        <s v="HOSP-ID-1049"/>
        <s v="HOSP-ID-1050"/>
        <s v="HOSP-ID-1051"/>
        <s v="HOSP-ID-1052"/>
        <s v="HOSP-ID-1053"/>
        <s v="HOSP-ID-1054"/>
        <s v="HOSP-ID-1055"/>
        <s v="HOSP-ID-1056"/>
        <s v="HOSP-ID-1057"/>
        <s v="HOSP-ID-1058"/>
        <s v="HOSP-ID-1059"/>
        <s v="HOSP-ID-1060"/>
        <s v="HOSP-ID-1061"/>
        <s v="HOSP-ID-1062"/>
        <s v="HOSP-ID-1063"/>
        <s v="HOSP-ID-1064"/>
        <s v="HOSP-ID-1065"/>
        <s v="HOSP-ID-1066"/>
        <s v="HOSP-ID-1067"/>
        <s v="HOSP-ID-1068"/>
        <s v="HOSP-ID-1069"/>
        <s v="HOSP-ID-1070"/>
        <s v="HOSP-ID-1071"/>
        <s v="HOSP-ID-1072"/>
        <s v="HOSP-ID-1073"/>
        <s v="HOSP-ID-1074"/>
        <s v="HOSP-ID-1075"/>
        <s v="HOSP-ID-1076"/>
        <s v="HOSP-ID-1077"/>
        <s v="HOSP-ID-1078"/>
        <s v="HOSP-ID-1079"/>
        <s v="HOSP-ID-1080"/>
        <s v="HOSP-ID-1081"/>
        <s v="HOSP-ID-1082"/>
        <s v="HOSP-ID-1083"/>
        <s v="HOSP-ID-1084"/>
        <s v="HOSP-ID-1085"/>
        <s v="HOSP-ID-1086"/>
        <s v="HOSP-ID-1087"/>
        <s v="HOSP-ID-1088"/>
        <s v="HOSP-ID-1089"/>
        <s v="HOSP-ID-1090"/>
        <s v="HOSP-ID-1091"/>
        <s v="HOSP-ID-1092"/>
        <s v="HOSP-ID-1093"/>
        <s v="HOSP-ID-1094"/>
        <s v="HOSP-ID-1095"/>
        <s v="HOSP-ID-1096"/>
        <s v="HOSP-ID-1097"/>
        <s v="HOSP-ID-1098"/>
        <s v="HOSP-ID-1099"/>
        <s v="HOSP-ID-1100"/>
        <s v="HOSP-ID-1101"/>
        <s v="HOSP-ID-1102"/>
        <s v="HOSP-ID-1103"/>
        <s v="HOSP-ID-1104"/>
        <s v="HOSP-ID-1105"/>
        <s v="HOSP-ID-1106"/>
        <s v="HOSP-ID-1107"/>
        <s v="HOSP-ID-1108"/>
        <s v="HOSP-ID-1109"/>
        <s v="HOSP-ID-1110"/>
        <s v="HOSP-ID-1111"/>
        <s v="HOSP-ID-1112"/>
        <s v="HOSP-ID-1113"/>
        <s v="HOSP-ID-1114"/>
        <s v="HOSP-ID-1115"/>
        <s v="HOSP-ID-1116"/>
        <s v="HOSP-ID-1117"/>
        <s v="HOSP-ID-1118"/>
        <s v="HOSP-ID-1119"/>
        <s v="HOSP-ID-1120"/>
        <s v="HOSP-ID-1121"/>
        <s v="HOSP-ID-1122"/>
        <s v="HOSP-ID-1123"/>
        <s v="HOSP-ID-1124"/>
        <s v="HOSP-ID-1125"/>
        <s v="HOSP-ID-1126"/>
        <s v="HOSP-ID-1127"/>
        <s v="HOSP-ID-1128"/>
        <s v="HOSP-ID-1129"/>
        <s v="HOSP-ID-1130"/>
        <s v="HOSP-ID-1131"/>
        <s v="HOSP-ID-1132"/>
        <s v="HOSP-ID-1133"/>
        <s v="HOSP-ID-1134"/>
        <s v="HOSP-ID-1135"/>
        <s v="HOSP-ID-1136"/>
        <s v="HOSP-ID-1137"/>
        <s v="HOSP-ID-1138"/>
        <s v="HOSP-ID-1139"/>
        <s v="HOSP-ID-1140"/>
        <s v="HOSP-ID-1141"/>
        <s v="HOSP-ID-1142"/>
        <s v="HOSP-ID-1143"/>
        <s v="HOSP-ID-1144"/>
        <s v="HOSP-ID-1145"/>
        <s v="HOSP-ID-1146"/>
        <s v="HOSP-ID-1147"/>
        <s v="HOSP-ID-1148"/>
        <s v="HOSP-ID-1149"/>
        <s v="HOSP-ID-1150"/>
        <s v="HOSP-ID-1151"/>
        <s v="HOSP-ID-1152"/>
        <s v="HOSP-ID-1153"/>
        <s v="HOSP-ID-1154"/>
        <s v="HOSP-ID-1155"/>
        <s v="HOSP-ID-1156"/>
        <s v="HOSP-ID-1157"/>
        <s v="HOSP-ID-1158"/>
        <s v="HOSP-ID-1159"/>
        <s v="HOSP-ID-1160"/>
        <s v="HOSP-ID-1161"/>
        <s v="HOSP-ID-1162"/>
        <s v="HOSP-ID-1163"/>
        <s v="HOSP-ID-1164"/>
        <s v="HOSP-ID-1165"/>
        <s v="HOSP-ID-1166"/>
        <s v="HOSP-ID-1167"/>
        <s v="HOSP-ID-1168"/>
        <s v="HOSP-ID-1169"/>
        <s v="HOSP-ID-1170"/>
        <s v="HOSP-ID-1171"/>
        <s v="HOSP-ID-1172"/>
        <s v="HOSP-ID-1173"/>
        <s v="HOSP-ID-1174"/>
        <s v="HOSP-ID-1175"/>
        <s v="HOSP-ID-1176"/>
        <s v="HOSP-ID-1177"/>
        <s v="HOSP-ID-1178"/>
        <s v="HOSP-ID-1179"/>
        <s v="HOSP-ID-1180"/>
        <s v="HOSP-ID-1181"/>
        <s v="HOSP-ID-1182"/>
        <s v="HOSP-ID-1183"/>
        <s v="HOSP-ID-1184"/>
        <s v="HOSP-ID-1185"/>
        <s v="HOSP-ID-1186"/>
        <s v="HOSP-ID-1187"/>
        <s v="HOSP-ID-1188"/>
        <s v="HOSP-ID-1189"/>
        <s v="HOSP-ID-1190"/>
        <s v="HOSP-ID-1191"/>
        <s v="HOSP-ID-1192"/>
        <s v="HOSP-ID-1193"/>
        <s v="HOSP-ID-1194"/>
        <s v="HOSP-ID-1195"/>
        <s v="HOSP-ID-1196"/>
        <s v="HOSP-ID-1197"/>
        <s v="HOSP-ID-1198"/>
        <s v="HOSP-ID-1199"/>
        <s v="HOSP-ID-1200"/>
        <s v="HOSP-ID-1201"/>
        <s v="HOSP-ID-1202"/>
        <s v="HOSP-ID-1203"/>
        <s v="HOSP-ID-1204"/>
        <s v="HOSP-ID-1205"/>
        <s v="HOSP-ID-1206"/>
        <s v="HOSP-ID-1207"/>
        <s v="HOSP-ID-1208"/>
        <s v="HOSP-ID-1209"/>
        <s v="HOSP-ID-1210"/>
        <s v="HOSP-ID-1211"/>
        <s v="HOSP-ID-1212"/>
        <s v="HOSP-ID-1213"/>
        <s v="HOSP-ID-1214"/>
        <s v="HOSP-ID-1215"/>
        <s v="HOSP-ID-1216"/>
        <s v="HOSP-ID-1217"/>
        <s v="HOSP-ID-1218"/>
        <s v="HOSP-ID-1219"/>
        <s v="HOSP-ID-1220"/>
        <s v="HOSP-ID-1221"/>
        <s v="HOSP-ID-1222"/>
        <s v="HOSP-ID-1223"/>
        <s v="HOSP-ID-1224"/>
        <s v="HOSP-ID-1225"/>
        <s v="HOSP-ID-1226"/>
        <s v="HOSP-ID-1227"/>
        <s v="HOSP-ID-1228"/>
        <s v="HOSP-ID-1229"/>
        <s v="HOSP-ID-1230"/>
        <s v="HOSP-ID-1231"/>
        <s v="HOSP-ID-1232"/>
        <s v="HOSP-ID-1233"/>
        <s v="HOSP-ID-1234"/>
        <s v="HOSP-ID-1235"/>
        <s v="HOSP-ID-1236"/>
        <s v="HOSP-ID-1237"/>
        <s v="HOSP-ID-1238"/>
        <s v="HOSP-ID-1239"/>
        <s v="HOSP-ID-1240"/>
        <s v="HOSP-ID-1241"/>
        <s v="HOSP-ID-1242"/>
        <s v="HOSP-ID-1243"/>
        <s v="HOSP-ID-1244"/>
        <s v="HOSP-ID-1245"/>
        <s v="HOSP-ID-1246"/>
        <s v="HOSP-ID-1247"/>
        <s v="HOSP-ID-1248"/>
        <s v="HOSP-ID-1249"/>
        <s v="HOSP-ID-1250"/>
        <s v="HOSP-ID-1251"/>
        <s v="HOSP-ID-1252"/>
        <s v="HOSP-ID-1253"/>
        <s v="HOSP-ID-1254"/>
        <s v="HOSP-ID-1255"/>
        <s v="HOSP-ID-1256"/>
        <s v="HOSP-ID-1257"/>
        <s v="HOSP-ID-1258"/>
        <s v="HOSP-ID-1259"/>
        <s v="HOSP-ID-1260"/>
        <s v="HOSP-ID-1261"/>
        <s v="HOSP-ID-1262"/>
        <s v="HOSP-ID-1263"/>
        <s v="HOSP-ID-1264"/>
        <s v="HOSP-ID-1265"/>
        <s v="HOSP-ID-1266"/>
        <s v="HOSP-ID-1267"/>
        <s v="HOSP-ID-1268"/>
        <s v="HOSP-ID-1269"/>
        <s v="HOSP-ID-1270"/>
        <s v="HOSP-ID-1271"/>
        <s v="HOSP-ID-1272"/>
        <s v="HOSP-ID-1273"/>
        <s v="HOSP-ID-1274"/>
        <s v="HOSP-ID-1275"/>
        <s v="HOSP-ID-1276"/>
        <s v="HOSP-ID-1277"/>
        <s v="HOSP-ID-1278"/>
        <s v="HOSP-ID-1279"/>
        <s v="HOSP-ID-1280"/>
        <s v="HOSP-ID-1281"/>
        <s v="HOSP-ID-1282"/>
        <s v="HOSP-ID-1283"/>
        <s v="HOSP-ID-1284"/>
        <s v="HOSP-ID-1285"/>
        <s v="HOSP-ID-1286"/>
        <s v="HOSP-ID-1287"/>
        <s v="HOSP-ID-1288"/>
        <s v="HOSP-ID-1289"/>
        <s v="HOSP-ID-1290"/>
        <s v="HOSP-ID-1291"/>
        <s v="HOSP-ID-1292"/>
        <s v="HOSP-ID-1293"/>
        <s v="HOSP-ID-1294"/>
        <s v="HOSP-ID-1295"/>
        <s v="HOSP-ID-1296"/>
        <s v="HOSP-ID-1297"/>
        <s v="HOSP-ID-1298"/>
        <s v="HOSP-ID-1299"/>
        <s v="NG-HOSP-1000" u="1"/>
        <s v="NG-HOSP-1001" u="1"/>
        <s v="NG-HOSP-1002" u="1"/>
        <s v="NG-HOSP-1003" u="1"/>
        <s v="NG-HOSP-1004" u="1"/>
        <s v="NG-HOSP-1005" u="1"/>
        <s v="NG-HOSP-1006" u="1"/>
        <s v="NG-HOSP-1007" u="1"/>
        <s v="NG-HOSP-1008" u="1"/>
        <s v="NG-HOSP-1009" u="1"/>
        <s v="NG-HOSP-1010" u="1"/>
        <s v="NG-HOSP-1011" u="1"/>
        <s v="NG-HOSP-1012" u="1"/>
        <s v="NG-HOSP-1013" u="1"/>
        <s v="NG-HOSP-1014" u="1"/>
        <s v="NG-HOSP-1015" u="1"/>
        <s v="NG-HOSP-1016" u="1"/>
        <s v="NG-HOSP-1017" u="1"/>
        <s v="NG-HOSP-1018" u="1"/>
        <s v="NG-HOSP-1019" u="1"/>
        <s v="NG-HOSP-1020" u="1"/>
        <s v="NG-HOSP-1021" u="1"/>
        <s v="NG-HOSP-1022" u="1"/>
        <s v="NG-HOSP-1023" u="1"/>
        <s v="NG-HOSP-1024" u="1"/>
        <s v="NG-HOSP-1025" u="1"/>
        <s v="NG-HOSP-1026" u="1"/>
        <s v="NG-HOSP-1027" u="1"/>
        <s v="NG-HOSP-1028" u="1"/>
        <s v="NG-HOSP-1029" u="1"/>
        <s v="NG-HOSP-1030" u="1"/>
        <s v="NG-HOSP-1031" u="1"/>
        <s v="NG-HOSP-1032" u="1"/>
        <s v="NG-HOSP-1033" u="1"/>
        <s v="NG-HOSP-1034" u="1"/>
        <s v="NG-HOSP-1035" u="1"/>
        <s v="NG-HOSP-1036" u="1"/>
        <s v="NG-HOSP-1037" u="1"/>
        <s v="NG-HOSP-1038" u="1"/>
        <s v="NG-HOSP-1039" u="1"/>
        <s v="NG-HOSP-1040" u="1"/>
        <s v="NG-HOSP-1041" u="1"/>
        <s v="NG-HOSP-1042" u="1"/>
        <s v="NG-HOSP-1043" u="1"/>
        <s v="NG-HOSP-1044" u="1"/>
        <s v="NG-HOSP-1045" u="1"/>
        <s v="NG-HOSP-1046" u="1"/>
        <s v="NG-HOSP-1047" u="1"/>
        <s v="NG-HOSP-1048" u="1"/>
        <s v="NG-HOSP-1049" u="1"/>
        <s v="NG-HOSP-1050" u="1"/>
        <s v="NG-HOSP-1051" u="1"/>
        <s v="NG-HOSP-1052" u="1"/>
        <s v="NG-HOSP-1053" u="1"/>
        <s v="NG-HOSP-1054" u="1"/>
        <s v="NG-HOSP-1055" u="1"/>
        <s v="NG-HOSP-1056" u="1"/>
        <s v="NG-HOSP-1057" u="1"/>
        <s v="NG-HOSP-1058" u="1"/>
        <s v="NG-HOSP-1059" u="1"/>
        <s v="NG-HOSP-1060" u="1"/>
        <s v="NG-HOSP-1061" u="1"/>
        <s v="NG-HOSP-1062" u="1"/>
        <s v="NG-HOSP-1063" u="1"/>
        <s v="NG-HOSP-1064" u="1"/>
        <s v="NG-HOSP-1065" u="1"/>
        <s v="NG-HOSP-1066" u="1"/>
        <s v="NG-HOSP-1067" u="1"/>
        <s v="NG-HOSP-1068" u="1"/>
        <s v="NG-HOSP-1069" u="1"/>
        <s v="NG-HOSP-1070" u="1"/>
        <s v="NG-HOSP-1071" u="1"/>
        <s v="NG-HOSP-1072" u="1"/>
        <s v="NG-HOSP-1073" u="1"/>
        <s v="NG-HOSP-1074" u="1"/>
        <s v="NG-HOSP-1075" u="1"/>
        <s v="NG-HOSP-1076" u="1"/>
        <s v="NG-HOSP-1077" u="1"/>
        <s v="NG-HOSP-1078" u="1"/>
        <s v="NG-HOSP-1079" u="1"/>
        <s v="NG-HOSP-1080" u="1"/>
        <s v="NG-HOSP-1081" u="1"/>
        <s v="NG-HOSP-1082" u="1"/>
        <s v="NG-HOSP-1083" u="1"/>
        <s v="NG-HOSP-1084" u="1"/>
        <s v="NG-HOSP-1085" u="1"/>
        <s v="NG-HOSP-1086" u="1"/>
        <s v="NG-HOSP-1087" u="1"/>
        <s v="NG-HOSP-1088" u="1"/>
        <s v="NG-HOSP-1089" u="1"/>
        <s v="NG-HOSP-1090" u="1"/>
        <s v="NG-HOSP-1091" u="1"/>
        <s v="NG-HOSP-1092" u="1"/>
        <s v="NG-HOSP-1093" u="1"/>
        <s v="NG-HOSP-1094" u="1"/>
        <s v="NG-HOSP-1095" u="1"/>
        <s v="NG-HOSP-1096" u="1"/>
        <s v="NG-HOSP-1097" u="1"/>
        <s v="NG-HOSP-1098" u="1"/>
        <s v="NG-HOSP-1099" u="1"/>
        <s v="NG-HOSP-1100" u="1"/>
        <s v="NG-HOSP-1101" u="1"/>
        <s v="NG-HOSP-1102" u="1"/>
        <s v="NG-HOSP-1103" u="1"/>
        <s v="NG-HOSP-1104" u="1"/>
        <s v="NG-HOSP-1105" u="1"/>
        <s v="NG-HOSP-1106" u="1"/>
        <s v="NG-HOSP-1107" u="1"/>
        <s v="NG-HOSP-1108" u="1"/>
        <s v="NG-HOSP-1109" u="1"/>
        <s v="NG-HOSP-1110" u="1"/>
        <s v="NG-HOSP-1111" u="1"/>
        <s v="NG-HOSP-1112" u="1"/>
        <s v="NG-HOSP-1113" u="1"/>
        <s v="NG-HOSP-1114" u="1"/>
        <s v="NG-HOSP-1115" u="1"/>
        <s v="NG-HOSP-1116" u="1"/>
        <s v="NG-HOSP-1117" u="1"/>
        <s v="NG-HOSP-1118" u="1"/>
        <s v="NG-HOSP-1119" u="1"/>
        <s v="NG-HOSP-1120" u="1"/>
        <s v="NG-HOSP-1121" u="1"/>
        <s v="NG-HOSP-1122" u="1"/>
        <s v="NG-HOSP-1123" u="1"/>
        <s v="NG-HOSP-1124" u="1"/>
        <s v="NG-HOSP-1125" u="1"/>
        <s v="NG-HOSP-1126" u="1"/>
        <s v="NG-HOSP-1127" u="1"/>
        <s v="NG-HOSP-1128" u="1"/>
        <s v="NG-HOSP-1129" u="1"/>
        <s v="NG-HOSP-1130" u="1"/>
        <s v="NG-HOSP-1131" u="1"/>
        <s v="NG-HOSP-1132" u="1"/>
        <s v="NG-HOSP-1133" u="1"/>
        <s v="NG-HOSP-1134" u="1"/>
        <s v="NG-HOSP-1135" u="1"/>
        <s v="NG-HOSP-1136" u="1"/>
        <s v="NG-HOSP-1137" u="1"/>
        <s v="NG-HOSP-1138" u="1"/>
        <s v="NG-HOSP-1139" u="1"/>
        <s v="NG-HOSP-1140" u="1"/>
        <s v="NG-HOSP-1141" u="1"/>
        <s v="NG-HOSP-1142" u="1"/>
        <s v="NG-HOSP-1143" u="1"/>
        <s v="NG-HOSP-1144" u="1"/>
        <s v="NG-HOSP-1145" u="1"/>
        <s v="NG-HOSP-1146" u="1"/>
        <s v="NG-HOSP-1147" u="1"/>
        <s v="NG-HOSP-1148" u="1"/>
        <s v="NG-HOSP-1149" u="1"/>
        <s v="NG-HOSP-1150" u="1"/>
        <s v="NG-HOSP-1151" u="1"/>
        <s v="NG-HOSP-1152" u="1"/>
        <s v="NG-HOSP-1153" u="1"/>
        <s v="NG-HOSP-1154" u="1"/>
        <s v="NG-HOSP-1155" u="1"/>
        <s v="NG-HOSP-1156" u="1"/>
        <s v="NG-HOSP-1157" u="1"/>
        <s v="NG-HOSP-1158" u="1"/>
        <s v="NG-HOSP-1159" u="1"/>
        <s v="NG-HOSP-1160" u="1"/>
        <s v="NG-HOSP-1161" u="1"/>
        <s v="NG-HOSP-1162" u="1"/>
        <s v="NG-HOSP-1163" u="1"/>
        <s v="NG-HOSP-1164" u="1"/>
        <s v="NG-HOSP-1165" u="1"/>
        <s v="NG-HOSP-1166" u="1"/>
        <s v="NG-HOSP-1167" u="1"/>
        <s v="NG-HOSP-1168" u="1"/>
        <s v="NG-HOSP-1169" u="1"/>
        <s v="NG-HOSP-1170" u="1"/>
        <s v="NG-HOSP-1171" u="1"/>
        <s v="NG-HOSP-1172" u="1"/>
        <s v="NG-HOSP-1173" u="1"/>
        <s v="NG-HOSP-1174" u="1"/>
        <s v="NG-HOSP-1175" u="1"/>
        <s v="NG-HOSP-1176" u="1"/>
        <s v="NG-HOSP-1177" u="1"/>
        <s v="NG-HOSP-1178" u="1"/>
        <s v="NG-HOSP-1179" u="1"/>
        <s v="NG-HOSP-1180" u="1"/>
        <s v="NG-HOSP-1181" u="1"/>
        <s v="NG-HOSP-1182" u="1"/>
        <s v="NG-HOSP-1183" u="1"/>
        <s v="NG-HOSP-1184" u="1"/>
        <s v="NG-HOSP-1185" u="1"/>
        <s v="NG-HOSP-1186" u="1"/>
        <s v="NG-HOSP-1187" u="1"/>
        <s v="NG-HOSP-1188" u="1"/>
        <s v="NG-HOSP-1189" u="1"/>
        <s v="NG-HOSP-1190" u="1"/>
        <s v="NG-HOSP-1191" u="1"/>
        <s v="NG-HOSP-1192" u="1"/>
        <s v="NG-HOSP-1193" u="1"/>
        <s v="NG-HOSP-1194" u="1"/>
        <s v="NG-HOSP-1195" u="1"/>
        <s v="NG-HOSP-1196" u="1"/>
        <s v="NG-HOSP-1197" u="1"/>
        <s v="NG-HOSP-1198" u="1"/>
        <s v="NG-HOSP-1199" u="1"/>
        <s v="NG-HOSP-1200" u="1"/>
        <s v="NG-HOSP-1201" u="1"/>
        <s v="NG-HOSP-1202" u="1"/>
        <s v="NG-HOSP-1203" u="1"/>
        <s v="NG-HOSP-1204" u="1"/>
        <s v="NG-HOSP-1205" u="1"/>
        <s v="NG-HOSP-1206" u="1"/>
        <s v="NG-HOSP-1207" u="1"/>
        <s v="NG-HOSP-1208" u="1"/>
        <s v="NG-HOSP-1209" u="1"/>
        <s v="NG-HOSP-1210" u="1"/>
        <s v="NG-HOSP-1211" u="1"/>
        <s v="NG-HOSP-1212" u="1"/>
        <s v="NG-HOSP-1213" u="1"/>
        <s v="NG-HOSP-1214" u="1"/>
        <s v="NG-HOSP-1215" u="1"/>
        <s v="NG-HOSP-1216" u="1"/>
        <s v="NG-HOSP-1217" u="1"/>
        <s v="NG-HOSP-1218" u="1"/>
        <s v="NG-HOSP-1219" u="1"/>
        <s v="NG-HOSP-1220" u="1"/>
        <s v="NG-HOSP-1221" u="1"/>
        <s v="NG-HOSP-1222" u="1"/>
        <s v="NG-HOSP-1223" u="1"/>
        <s v="NG-HOSP-1224" u="1"/>
        <s v="NG-HOSP-1225" u="1"/>
        <s v="NG-HOSP-1226" u="1"/>
        <s v="NG-HOSP-1227" u="1"/>
        <s v="NG-HOSP-1228" u="1"/>
        <s v="NG-HOSP-1229" u="1"/>
        <s v="NG-HOSP-1230" u="1"/>
        <s v="NG-HOSP-1231" u="1"/>
        <s v="NG-HOSP-1232" u="1"/>
        <s v="NG-HOSP-1233" u="1"/>
        <s v="NG-HOSP-1234" u="1"/>
        <s v="NG-HOSP-1235" u="1"/>
        <s v="NG-HOSP-1236" u="1"/>
        <s v="NG-HOSP-1237" u="1"/>
        <s v="NG-HOSP-1238" u="1"/>
        <s v="NG-HOSP-1239" u="1"/>
        <s v="NG-HOSP-1240" u="1"/>
        <s v="NG-HOSP-1241" u="1"/>
        <s v="NG-HOSP-1242" u="1"/>
        <s v="NG-HOSP-1243" u="1"/>
        <s v="NG-HOSP-1244" u="1"/>
        <s v="NG-HOSP-1245" u="1"/>
        <s v="NG-HOSP-1246" u="1"/>
        <s v="NG-HOSP-1247" u="1"/>
        <s v="NG-HOSP-1248" u="1"/>
        <s v="NG-HOSP-1249" u="1"/>
        <s v="NG-HOSP-1250" u="1"/>
        <s v="NG-HOSP-1251" u="1"/>
        <s v="NG-HOSP-1252" u="1"/>
        <s v="NG-HOSP-1253" u="1"/>
        <s v="NG-HOSP-1254" u="1"/>
        <s v="NG-HOSP-1255" u="1"/>
        <s v="NG-HOSP-1256" u="1"/>
        <s v="NG-HOSP-1257" u="1"/>
        <s v="NG-HOSP-1258" u="1"/>
        <s v="NG-HOSP-1259" u="1"/>
        <s v="NG-HOSP-1260" u="1"/>
        <s v="NG-HOSP-1261" u="1"/>
        <s v="NG-HOSP-1262" u="1"/>
        <s v="NG-HOSP-1263" u="1"/>
        <s v="NG-HOSP-1264" u="1"/>
        <s v="NG-HOSP-1265" u="1"/>
        <s v="NG-HOSP-1266" u="1"/>
        <s v="NG-HOSP-1267" u="1"/>
        <s v="NG-HOSP-1268" u="1"/>
        <s v="NG-HOSP-1269" u="1"/>
        <s v="NG-HOSP-1270" u="1"/>
        <s v="NG-HOSP-1271" u="1"/>
        <s v="NG-HOSP-1272" u="1"/>
        <s v="NG-HOSP-1273" u="1"/>
        <s v="NG-HOSP-1274" u="1"/>
        <s v="NG-HOSP-1275" u="1"/>
        <s v="NG-HOSP-1276" u="1"/>
        <s v="NG-HOSP-1277" u="1"/>
        <s v="NG-HOSP-1278" u="1"/>
        <s v="NG-HOSP-1279" u="1"/>
        <s v="NG-HOSP-1280" u="1"/>
        <s v="NG-HOSP-1281" u="1"/>
        <s v="NG-HOSP-1282" u="1"/>
        <s v="NG-HOSP-1283" u="1"/>
        <s v="NG-HOSP-1284" u="1"/>
        <s v="NG-HOSP-1285" u="1"/>
        <s v="NG-HOSP-1286" u="1"/>
        <s v="NG-HOSP-1287" u="1"/>
        <s v="NG-HOSP-1288" u="1"/>
        <s v="NG-HOSP-1289" u="1"/>
        <s v="NG-HOSP-1290" u="1"/>
        <s v="NG-HOSP-1291" u="1"/>
        <s v="NG-HOSP-1292" u="1"/>
        <s v="NG-HOSP-1293" u="1"/>
        <s v="NG-HOSP-1294" u="1"/>
        <s v="NG-HOSP-1295" u="1"/>
        <s v="NG-HOSP-1296" u="1"/>
        <s v="NG-HOSP-1297" u="1"/>
        <s v="NG-HOSP-1298" u="1"/>
        <s v="NG-HOSP-1299" u="1"/>
      </sharedItems>
    </cacheField>
    <cacheField name="Gender" numFmtId="0">
      <sharedItems count="2">
        <s v="Male"/>
        <s v="Female"/>
      </sharedItems>
    </cacheField>
    <cacheField name="Age" numFmtId="0">
      <sharedItems containsSemiMixedTypes="0" containsString="0" containsNumber="1" containsInteger="1" minValue="1" maxValue="84"/>
    </cacheField>
    <cacheField name="Age_Demographic" numFmtId="0">
      <sharedItems count="6">
        <s v="Toddler (0-4)"/>
        <s v="Adolescent (13-19)"/>
        <s v="Adult (36-59)"/>
        <s v="Young adult (20-35)"/>
        <s v="Elderly (60-90)"/>
        <s v="Child (5-12)"/>
      </sharedItems>
    </cacheField>
    <cacheField name="State" numFmtId="0">
      <sharedItems count="6">
        <s v="Rivers"/>
        <s v="Lagos"/>
        <s v="Ogun"/>
        <s v="Kano"/>
        <s v="Abuja"/>
        <s v="Oyo"/>
      </sharedItems>
    </cacheField>
    <cacheField name="Admission_Days" numFmtId="0">
      <sharedItems containsSemiMixedTypes="0" containsString="0" containsNumber="1" containsInteger="1" minValue="1" maxValue="20"/>
    </cacheField>
    <cacheField name="Admission_Duration" numFmtId="0">
      <sharedItems count="4">
        <s v="Long-term (16-20)"/>
        <s v="Medium-term (11-15)"/>
        <s v="Short-term (6-10)"/>
        <s v="Immediate (1-5)"/>
      </sharedItems>
    </cacheField>
    <cacheField name="Diagnosis" numFmtId="0">
      <sharedItems count="5">
        <s v="Hypertension"/>
        <s v="Diabetes"/>
        <s v="Malaria"/>
        <s v="Appendicitis"/>
        <s v="Typhoid"/>
      </sharedItems>
    </cacheField>
    <cacheField name="Lab_Tests_Conducted" numFmtId="0">
      <sharedItems containsSemiMixedTypes="0" containsString="0" containsNumber="1" containsInteger="1" minValue="0" maxValue="5"/>
    </cacheField>
    <cacheField name="Medications_Administered" numFmtId="0">
      <sharedItems containsSemiMixedTypes="0" containsString="0" containsNumber="1" containsInteger="1" minValue="1" maxValue="9"/>
    </cacheField>
    <cacheField name="Surgery_Cost_NGN" numFmtId="164">
      <sharedItems containsSemiMixedTypes="0" containsString="0" containsNumber="1" containsInteger="1" minValue="0" maxValue="700000"/>
    </cacheField>
    <cacheField name="Surgery Status" numFmtId="0">
      <sharedItems count="2">
        <s v="Yes"/>
        <s v="No"/>
      </sharedItems>
    </cacheField>
    <cacheField name="Bill_Amount_NGN" numFmtId="164">
      <sharedItems containsSemiMixedTypes="0" containsString="0" containsNumber="1" containsInteger="1" minValue="0" maxValue="995267"/>
    </cacheField>
    <cacheField name="Anomaly_Detection" numFmtId="0">
      <sharedItems count="2">
        <s v="Valid"/>
        <s v="Anomaly detected"/>
      </sharedItems>
    </cacheField>
    <cacheField name="%Revenue Ratio" numFmtId="164">
      <sharedItems containsSemiMixedTypes="0" containsString="0" containsNumber="1" minValue="0" maxValue="194.44444444444443"/>
    </cacheField>
  </cacheFields>
  <extLst>
    <ext xmlns:x14="http://schemas.microsoft.com/office/spreadsheetml/2009/9/main" uri="{725AE2AE-9491-48be-B2B4-4EB974FC3084}">
      <x14:pivotCacheDefinition pivotCacheId="8773561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x v="0"/>
    <x v="0"/>
    <n v="1"/>
    <x v="0"/>
    <x v="0"/>
    <n v="16"/>
    <x v="0"/>
    <x v="0"/>
    <n v="0"/>
    <n v="4"/>
    <n v="150000"/>
    <x v="0"/>
    <n v="387968"/>
    <x v="0"/>
    <n v="38.662982514021778"/>
  </r>
  <r>
    <x v="1"/>
    <x v="1"/>
    <n v="19"/>
    <x v="1"/>
    <x v="1"/>
    <n v="11"/>
    <x v="1"/>
    <x v="1"/>
    <n v="3"/>
    <n v="4"/>
    <n v="0"/>
    <x v="1"/>
    <n v="200169"/>
    <x v="0"/>
    <n v="0"/>
  </r>
  <r>
    <x v="2"/>
    <x v="0"/>
    <n v="2"/>
    <x v="0"/>
    <x v="2"/>
    <n v="16"/>
    <x v="0"/>
    <x v="2"/>
    <n v="0"/>
    <n v="9"/>
    <n v="0"/>
    <x v="1"/>
    <n v="290679"/>
    <x v="0"/>
    <n v="0"/>
  </r>
  <r>
    <x v="3"/>
    <x v="0"/>
    <n v="53"/>
    <x v="2"/>
    <x v="1"/>
    <n v="8"/>
    <x v="2"/>
    <x v="3"/>
    <n v="1"/>
    <n v="6"/>
    <n v="600000"/>
    <x v="0"/>
    <n v="722106"/>
    <x v="0"/>
    <n v="83.090294222731842"/>
  </r>
  <r>
    <x v="4"/>
    <x v="0"/>
    <n v="44"/>
    <x v="2"/>
    <x v="3"/>
    <n v="4"/>
    <x v="3"/>
    <x v="0"/>
    <n v="5"/>
    <n v="9"/>
    <n v="150000"/>
    <x v="0"/>
    <n v="275122"/>
    <x v="0"/>
    <n v="54.521266928853386"/>
  </r>
  <r>
    <x v="5"/>
    <x v="1"/>
    <n v="32"/>
    <x v="3"/>
    <x v="1"/>
    <n v="8"/>
    <x v="2"/>
    <x v="3"/>
    <n v="0"/>
    <n v="6"/>
    <n v="250000"/>
    <x v="0"/>
    <n v="361456"/>
    <x v="0"/>
    <n v="69.164711610818458"/>
  </r>
  <r>
    <x v="6"/>
    <x v="0"/>
    <n v="70"/>
    <x v="4"/>
    <x v="1"/>
    <n v="4"/>
    <x v="3"/>
    <x v="3"/>
    <n v="3"/>
    <n v="6"/>
    <n v="250000"/>
    <x v="0"/>
    <n v="340999"/>
    <x v="0"/>
    <n v="73.313997988263893"/>
  </r>
  <r>
    <x v="7"/>
    <x v="0"/>
    <n v="32"/>
    <x v="3"/>
    <x v="3"/>
    <n v="3"/>
    <x v="3"/>
    <x v="0"/>
    <n v="4"/>
    <n v="5"/>
    <n v="400000"/>
    <x v="0"/>
    <n v="536289"/>
    <x v="0"/>
    <n v="74.586650108430348"/>
  </r>
  <r>
    <x v="8"/>
    <x v="0"/>
    <n v="68"/>
    <x v="4"/>
    <x v="4"/>
    <n v="3"/>
    <x v="3"/>
    <x v="3"/>
    <n v="0"/>
    <n v="5"/>
    <n v="0"/>
    <x v="1"/>
    <n v="41719"/>
    <x v="0"/>
    <n v="0"/>
  </r>
  <r>
    <x v="9"/>
    <x v="1"/>
    <n v="55"/>
    <x v="2"/>
    <x v="1"/>
    <n v="18"/>
    <x v="0"/>
    <x v="0"/>
    <n v="5"/>
    <n v="2"/>
    <n v="0"/>
    <x v="1"/>
    <n v="296372"/>
    <x v="0"/>
    <n v="0"/>
  </r>
  <r>
    <x v="10"/>
    <x v="0"/>
    <n v="75"/>
    <x v="4"/>
    <x v="3"/>
    <n v="19"/>
    <x v="0"/>
    <x v="2"/>
    <n v="0"/>
    <n v="8"/>
    <n v="400000"/>
    <x v="0"/>
    <n v="600139"/>
    <x v="0"/>
    <n v="66.651225799356482"/>
  </r>
  <r>
    <x v="11"/>
    <x v="0"/>
    <n v="56"/>
    <x v="2"/>
    <x v="0"/>
    <n v="19"/>
    <x v="0"/>
    <x v="0"/>
    <n v="2"/>
    <n v="8"/>
    <n v="250000"/>
    <x v="0"/>
    <n v="503854"/>
    <x v="0"/>
    <n v="49.617547940474822"/>
  </r>
  <r>
    <x v="12"/>
    <x v="0"/>
    <n v="17"/>
    <x v="1"/>
    <x v="2"/>
    <n v="5"/>
    <x v="3"/>
    <x v="0"/>
    <n v="4"/>
    <n v="1"/>
    <n v="150000"/>
    <x v="0"/>
    <n v="275747"/>
    <x v="0"/>
    <n v="54.397690636706841"/>
  </r>
  <r>
    <x v="13"/>
    <x v="0"/>
    <n v="38"/>
    <x v="2"/>
    <x v="2"/>
    <n v="18"/>
    <x v="0"/>
    <x v="1"/>
    <n v="5"/>
    <n v="8"/>
    <n v="250000"/>
    <x v="0"/>
    <n v="503788"/>
    <x v="0"/>
    <n v="49.624048210755319"/>
  </r>
  <r>
    <x v="14"/>
    <x v="1"/>
    <n v="24"/>
    <x v="3"/>
    <x v="1"/>
    <n v="10"/>
    <x v="2"/>
    <x v="0"/>
    <n v="5"/>
    <n v="5"/>
    <n v="150000"/>
    <x v="0"/>
    <n v="341125"/>
    <x v="0"/>
    <n v="43.972150971051668"/>
  </r>
  <r>
    <x v="15"/>
    <x v="0"/>
    <n v="69"/>
    <x v="4"/>
    <x v="4"/>
    <n v="6"/>
    <x v="2"/>
    <x v="0"/>
    <n v="1"/>
    <n v="2"/>
    <n v="400000"/>
    <x v="0"/>
    <n v="491405"/>
    <x v="0"/>
    <n v="81.399253161852243"/>
  </r>
  <r>
    <x v="16"/>
    <x v="1"/>
    <n v="70"/>
    <x v="4"/>
    <x v="4"/>
    <n v="1"/>
    <x v="3"/>
    <x v="2"/>
    <n v="3"/>
    <n v="2"/>
    <n v="0"/>
    <x v="1"/>
    <n v="49321"/>
    <x v="0"/>
    <n v="0"/>
  </r>
  <r>
    <x v="17"/>
    <x v="1"/>
    <n v="11"/>
    <x v="5"/>
    <x v="0"/>
    <n v="5"/>
    <x v="3"/>
    <x v="1"/>
    <n v="1"/>
    <n v="6"/>
    <n v="250000"/>
    <x v="0"/>
    <n v="361968"/>
    <x v="0"/>
    <n v="69.066878840118463"/>
  </r>
  <r>
    <x v="18"/>
    <x v="1"/>
    <n v="16"/>
    <x v="1"/>
    <x v="1"/>
    <n v="9"/>
    <x v="2"/>
    <x v="4"/>
    <n v="5"/>
    <n v="9"/>
    <n v="600000"/>
    <x v="0"/>
    <n v="804341"/>
    <x v="0"/>
    <n v="74.595227645985972"/>
  </r>
  <r>
    <x v="19"/>
    <x v="0"/>
    <n v="73"/>
    <x v="4"/>
    <x v="2"/>
    <n v="12"/>
    <x v="1"/>
    <x v="2"/>
    <n v="4"/>
    <n v="1"/>
    <n v="150000"/>
    <x v="0"/>
    <n v="272796"/>
    <x v="0"/>
    <n v="54.986143491840053"/>
  </r>
  <r>
    <x v="20"/>
    <x v="1"/>
    <n v="59"/>
    <x v="2"/>
    <x v="4"/>
    <n v="14"/>
    <x v="1"/>
    <x v="2"/>
    <n v="0"/>
    <n v="6"/>
    <n v="0"/>
    <x v="1"/>
    <n v="210758"/>
    <x v="0"/>
    <n v="0"/>
  </r>
  <r>
    <x v="21"/>
    <x v="0"/>
    <n v="70"/>
    <x v="4"/>
    <x v="1"/>
    <n v="2"/>
    <x v="3"/>
    <x v="4"/>
    <n v="0"/>
    <n v="9"/>
    <n v="0"/>
    <x v="1"/>
    <n v="103939"/>
    <x v="0"/>
    <n v="0"/>
  </r>
  <r>
    <x v="22"/>
    <x v="1"/>
    <n v="80"/>
    <x v="4"/>
    <x v="4"/>
    <n v="17"/>
    <x v="0"/>
    <x v="0"/>
    <n v="4"/>
    <n v="8"/>
    <n v="150000"/>
    <x v="0"/>
    <n v="443563"/>
    <x v="0"/>
    <n v="33.817067699515064"/>
  </r>
  <r>
    <x v="23"/>
    <x v="1"/>
    <n v="3"/>
    <x v="0"/>
    <x v="3"/>
    <n v="14"/>
    <x v="1"/>
    <x v="3"/>
    <n v="5"/>
    <n v="6"/>
    <n v="400000"/>
    <x v="0"/>
    <n v="585465"/>
    <x v="0"/>
    <n v="68.32176133500721"/>
  </r>
  <r>
    <x v="24"/>
    <x v="1"/>
    <n v="20"/>
    <x v="3"/>
    <x v="4"/>
    <n v="13"/>
    <x v="1"/>
    <x v="1"/>
    <n v="0"/>
    <n v="3"/>
    <n v="0"/>
    <x v="1"/>
    <n v="112137"/>
    <x v="0"/>
    <n v="0"/>
  </r>
  <r>
    <x v="25"/>
    <x v="1"/>
    <n v="59"/>
    <x v="2"/>
    <x v="2"/>
    <n v="9"/>
    <x v="2"/>
    <x v="3"/>
    <n v="0"/>
    <n v="8"/>
    <n v="0"/>
    <x v="1"/>
    <n v="121028"/>
    <x v="0"/>
    <n v="0"/>
  </r>
  <r>
    <x v="26"/>
    <x v="1"/>
    <n v="36"/>
    <x v="2"/>
    <x v="5"/>
    <n v="15"/>
    <x v="1"/>
    <x v="4"/>
    <n v="0"/>
    <n v="9"/>
    <n v="0"/>
    <x v="1"/>
    <n v="173742"/>
    <x v="0"/>
    <n v="0"/>
  </r>
  <r>
    <x v="27"/>
    <x v="1"/>
    <n v="19"/>
    <x v="1"/>
    <x v="0"/>
    <n v="15"/>
    <x v="1"/>
    <x v="2"/>
    <n v="3"/>
    <n v="1"/>
    <n v="250000"/>
    <x v="0"/>
    <n v="436474"/>
    <x v="0"/>
    <n v="57.277180313145806"/>
  </r>
  <r>
    <x v="28"/>
    <x v="1"/>
    <n v="67"/>
    <x v="4"/>
    <x v="0"/>
    <n v="11"/>
    <x v="1"/>
    <x v="2"/>
    <n v="3"/>
    <n v="9"/>
    <n v="150000"/>
    <x v="0"/>
    <n v="388422"/>
    <x v="0"/>
    <n v="38.61779198912523"/>
  </r>
  <r>
    <x v="29"/>
    <x v="1"/>
    <n v="19"/>
    <x v="1"/>
    <x v="2"/>
    <n v="16"/>
    <x v="0"/>
    <x v="1"/>
    <n v="2"/>
    <n v="6"/>
    <n v="0"/>
    <x v="1"/>
    <n v="257194"/>
    <x v="0"/>
    <n v="0"/>
  </r>
  <r>
    <x v="30"/>
    <x v="0"/>
    <n v="20"/>
    <x v="3"/>
    <x v="4"/>
    <n v="17"/>
    <x v="0"/>
    <x v="2"/>
    <n v="1"/>
    <n v="6"/>
    <n v="0"/>
    <x v="1"/>
    <n v="247742"/>
    <x v="0"/>
    <n v="0"/>
  </r>
  <r>
    <x v="31"/>
    <x v="0"/>
    <n v="71"/>
    <x v="4"/>
    <x v="1"/>
    <n v="4"/>
    <x v="3"/>
    <x v="2"/>
    <n v="4"/>
    <n v="4"/>
    <n v="400000"/>
    <x v="0"/>
    <n v="515196"/>
    <x v="0"/>
    <n v="77.640354350577255"/>
  </r>
  <r>
    <x v="32"/>
    <x v="1"/>
    <n v="52"/>
    <x v="2"/>
    <x v="4"/>
    <n v="1"/>
    <x v="3"/>
    <x v="1"/>
    <n v="4"/>
    <n v="1"/>
    <n v="0"/>
    <x v="1"/>
    <n v="54172"/>
    <x v="0"/>
    <n v="0"/>
  </r>
  <r>
    <x v="33"/>
    <x v="1"/>
    <n v="33"/>
    <x v="3"/>
    <x v="2"/>
    <n v="8"/>
    <x v="2"/>
    <x v="1"/>
    <n v="4"/>
    <n v="8"/>
    <n v="600000"/>
    <x v="0"/>
    <n v="775244"/>
    <x v="0"/>
    <n v="77.394987900583558"/>
  </r>
  <r>
    <x v="34"/>
    <x v="1"/>
    <n v="40"/>
    <x v="2"/>
    <x v="0"/>
    <n v="17"/>
    <x v="0"/>
    <x v="4"/>
    <n v="2"/>
    <n v="2"/>
    <n v="600000"/>
    <x v="0"/>
    <n v="789292"/>
    <x v="0"/>
    <n v="76.017494159322524"/>
  </r>
  <r>
    <x v="35"/>
    <x v="0"/>
    <n v="39"/>
    <x v="2"/>
    <x v="4"/>
    <n v="3"/>
    <x v="3"/>
    <x v="2"/>
    <n v="3"/>
    <n v="1"/>
    <n v="150000"/>
    <x v="0"/>
    <n v="205550"/>
    <x v="0"/>
    <n v="72.974945268791046"/>
  </r>
  <r>
    <x v="36"/>
    <x v="1"/>
    <n v="82"/>
    <x v="4"/>
    <x v="0"/>
    <n v="20"/>
    <x v="0"/>
    <x v="2"/>
    <n v="5"/>
    <n v="2"/>
    <n v="0"/>
    <x v="1"/>
    <n v="298556"/>
    <x v="0"/>
    <n v="0"/>
  </r>
  <r>
    <x v="37"/>
    <x v="0"/>
    <n v="1"/>
    <x v="0"/>
    <x v="1"/>
    <n v="15"/>
    <x v="1"/>
    <x v="4"/>
    <n v="5"/>
    <n v="1"/>
    <n v="600000"/>
    <x v="0"/>
    <n v="878341"/>
    <x v="0"/>
    <n v="68.31059918642076"/>
  </r>
  <r>
    <x v="38"/>
    <x v="0"/>
    <n v="11"/>
    <x v="5"/>
    <x v="0"/>
    <n v="15"/>
    <x v="1"/>
    <x v="0"/>
    <n v="2"/>
    <n v="1"/>
    <n v="250000"/>
    <x v="0"/>
    <n v="443896"/>
    <x v="0"/>
    <n v="56.319498260853898"/>
  </r>
  <r>
    <x v="39"/>
    <x v="0"/>
    <n v="57"/>
    <x v="2"/>
    <x v="0"/>
    <n v="14"/>
    <x v="1"/>
    <x v="0"/>
    <n v="5"/>
    <n v="9"/>
    <n v="700000"/>
    <x v="0"/>
    <n v="360000"/>
    <x v="1"/>
    <n v="194.44444444444443"/>
  </r>
  <r>
    <x v="40"/>
    <x v="0"/>
    <n v="50"/>
    <x v="2"/>
    <x v="5"/>
    <n v="14"/>
    <x v="1"/>
    <x v="0"/>
    <n v="4"/>
    <n v="1"/>
    <n v="600000"/>
    <x v="0"/>
    <n v="734113"/>
    <x v="0"/>
    <n v="81.731286600291781"/>
  </r>
  <r>
    <x v="41"/>
    <x v="0"/>
    <n v="23"/>
    <x v="3"/>
    <x v="5"/>
    <n v="2"/>
    <x v="3"/>
    <x v="4"/>
    <n v="1"/>
    <n v="4"/>
    <n v="600000"/>
    <x v="0"/>
    <n v="677792"/>
    <x v="0"/>
    <n v="88.52273263774137"/>
  </r>
  <r>
    <x v="42"/>
    <x v="1"/>
    <n v="31"/>
    <x v="3"/>
    <x v="3"/>
    <n v="13"/>
    <x v="1"/>
    <x v="2"/>
    <n v="0"/>
    <n v="6"/>
    <n v="0"/>
    <x v="1"/>
    <n v="0"/>
    <x v="0"/>
    <n v="0"/>
  </r>
  <r>
    <x v="43"/>
    <x v="1"/>
    <n v="42"/>
    <x v="2"/>
    <x v="5"/>
    <n v="14"/>
    <x v="1"/>
    <x v="4"/>
    <n v="3"/>
    <n v="7"/>
    <n v="0"/>
    <x v="1"/>
    <n v="292315"/>
    <x v="0"/>
    <n v="0"/>
  </r>
  <r>
    <x v="44"/>
    <x v="1"/>
    <n v="7"/>
    <x v="5"/>
    <x v="0"/>
    <n v="19"/>
    <x v="0"/>
    <x v="4"/>
    <n v="3"/>
    <n v="2"/>
    <n v="250000"/>
    <x v="0"/>
    <n v="527132"/>
    <x v="0"/>
    <n v="47.426451059696625"/>
  </r>
  <r>
    <x v="45"/>
    <x v="1"/>
    <n v="16"/>
    <x v="1"/>
    <x v="2"/>
    <n v="7"/>
    <x v="2"/>
    <x v="0"/>
    <n v="2"/>
    <n v="6"/>
    <n v="0"/>
    <x v="1"/>
    <n v="139948"/>
    <x v="0"/>
    <n v="0"/>
  </r>
  <r>
    <x v="46"/>
    <x v="1"/>
    <n v="60"/>
    <x v="4"/>
    <x v="0"/>
    <n v="3"/>
    <x v="3"/>
    <x v="3"/>
    <n v="3"/>
    <n v="7"/>
    <n v="150000"/>
    <x v="0"/>
    <n v="242340"/>
    <x v="0"/>
    <n v="61.896509036890322"/>
  </r>
  <r>
    <x v="47"/>
    <x v="0"/>
    <n v="2"/>
    <x v="0"/>
    <x v="2"/>
    <n v="15"/>
    <x v="1"/>
    <x v="2"/>
    <n v="4"/>
    <n v="2"/>
    <n v="150000"/>
    <x v="0"/>
    <n v="384013"/>
    <x v="0"/>
    <n v="39.061177616382778"/>
  </r>
  <r>
    <x v="48"/>
    <x v="1"/>
    <n v="1"/>
    <x v="0"/>
    <x v="2"/>
    <n v="14"/>
    <x v="1"/>
    <x v="0"/>
    <n v="5"/>
    <n v="2"/>
    <n v="150000"/>
    <x v="0"/>
    <n v="385810"/>
    <x v="0"/>
    <n v="38.879241077214175"/>
  </r>
  <r>
    <x v="49"/>
    <x v="1"/>
    <n v="48"/>
    <x v="2"/>
    <x v="5"/>
    <n v="11"/>
    <x v="1"/>
    <x v="3"/>
    <n v="4"/>
    <n v="7"/>
    <n v="400000"/>
    <x v="0"/>
    <n v="536729"/>
    <x v="0"/>
    <n v="74.525505422662093"/>
  </r>
  <r>
    <x v="50"/>
    <x v="0"/>
    <n v="12"/>
    <x v="5"/>
    <x v="4"/>
    <n v="15"/>
    <x v="1"/>
    <x v="3"/>
    <n v="2"/>
    <n v="1"/>
    <n v="600000"/>
    <x v="0"/>
    <n v="734885"/>
    <x v="0"/>
    <n v="81.645427515869827"/>
  </r>
  <r>
    <x v="51"/>
    <x v="1"/>
    <n v="69"/>
    <x v="4"/>
    <x v="1"/>
    <n v="13"/>
    <x v="1"/>
    <x v="1"/>
    <n v="4"/>
    <n v="8"/>
    <n v="400000"/>
    <x v="0"/>
    <n v="691411"/>
    <x v="0"/>
    <n v="57.852709893247287"/>
  </r>
  <r>
    <x v="52"/>
    <x v="0"/>
    <n v="37"/>
    <x v="2"/>
    <x v="5"/>
    <n v="18"/>
    <x v="0"/>
    <x v="2"/>
    <n v="5"/>
    <n v="3"/>
    <n v="0"/>
    <x v="1"/>
    <n v="259721"/>
    <x v="0"/>
    <n v="0"/>
  </r>
  <r>
    <x v="53"/>
    <x v="1"/>
    <n v="32"/>
    <x v="3"/>
    <x v="5"/>
    <n v="6"/>
    <x v="2"/>
    <x v="3"/>
    <n v="1"/>
    <n v="6"/>
    <n v="150000"/>
    <x v="0"/>
    <n v="302799"/>
    <x v="0"/>
    <n v="49.537812212061468"/>
  </r>
  <r>
    <x v="54"/>
    <x v="0"/>
    <n v="9"/>
    <x v="5"/>
    <x v="4"/>
    <n v="3"/>
    <x v="3"/>
    <x v="0"/>
    <n v="2"/>
    <n v="9"/>
    <n v="250000"/>
    <x v="0"/>
    <n v="366907"/>
    <x v="0"/>
    <n v="68.137157372304159"/>
  </r>
  <r>
    <x v="55"/>
    <x v="1"/>
    <n v="19"/>
    <x v="1"/>
    <x v="1"/>
    <n v="19"/>
    <x v="0"/>
    <x v="1"/>
    <n v="1"/>
    <n v="6"/>
    <n v="0"/>
    <x v="1"/>
    <n v="251095"/>
    <x v="0"/>
    <n v="0"/>
  </r>
  <r>
    <x v="56"/>
    <x v="1"/>
    <n v="48"/>
    <x v="2"/>
    <x v="0"/>
    <n v="15"/>
    <x v="1"/>
    <x v="2"/>
    <n v="0"/>
    <n v="9"/>
    <n v="600000"/>
    <x v="0"/>
    <n v="763554"/>
    <x v="0"/>
    <n v="78.57990397535734"/>
  </r>
  <r>
    <x v="57"/>
    <x v="0"/>
    <n v="80"/>
    <x v="4"/>
    <x v="3"/>
    <n v="5"/>
    <x v="3"/>
    <x v="4"/>
    <n v="1"/>
    <n v="7"/>
    <n v="0"/>
    <x v="1"/>
    <n v="0"/>
    <x v="0"/>
    <n v="0"/>
  </r>
  <r>
    <x v="58"/>
    <x v="0"/>
    <n v="3"/>
    <x v="0"/>
    <x v="3"/>
    <n v="10"/>
    <x v="2"/>
    <x v="0"/>
    <n v="0"/>
    <n v="9"/>
    <n v="250000"/>
    <x v="0"/>
    <n v="432532"/>
    <x v="0"/>
    <n v="57.799191736102763"/>
  </r>
  <r>
    <x v="59"/>
    <x v="0"/>
    <n v="20"/>
    <x v="3"/>
    <x v="0"/>
    <n v="7"/>
    <x v="2"/>
    <x v="3"/>
    <n v="0"/>
    <n v="2"/>
    <n v="600000"/>
    <x v="0"/>
    <n v="702836"/>
    <x v="0"/>
    <n v="85.368421651708232"/>
  </r>
  <r>
    <x v="60"/>
    <x v="0"/>
    <n v="24"/>
    <x v="3"/>
    <x v="5"/>
    <n v="17"/>
    <x v="0"/>
    <x v="3"/>
    <n v="1"/>
    <n v="8"/>
    <n v="420000"/>
    <x v="0"/>
    <n v="240000"/>
    <x v="1"/>
    <n v="175"/>
  </r>
  <r>
    <x v="61"/>
    <x v="0"/>
    <n v="54"/>
    <x v="2"/>
    <x v="1"/>
    <n v="7"/>
    <x v="2"/>
    <x v="0"/>
    <n v="2"/>
    <n v="8"/>
    <n v="400000"/>
    <x v="0"/>
    <n v="503675"/>
    <x v="0"/>
    <n v="79.416290266540926"/>
  </r>
  <r>
    <x v="62"/>
    <x v="0"/>
    <n v="33"/>
    <x v="3"/>
    <x v="5"/>
    <n v="12"/>
    <x v="1"/>
    <x v="3"/>
    <n v="5"/>
    <n v="2"/>
    <n v="250000"/>
    <x v="0"/>
    <n v="406475"/>
    <x v="0"/>
    <n v="61.504397564425858"/>
  </r>
  <r>
    <x v="63"/>
    <x v="0"/>
    <n v="24"/>
    <x v="3"/>
    <x v="2"/>
    <n v="17"/>
    <x v="0"/>
    <x v="1"/>
    <n v="4"/>
    <n v="4"/>
    <n v="400000"/>
    <x v="0"/>
    <n v="586749"/>
    <x v="0"/>
    <n v="68.172250826162468"/>
  </r>
  <r>
    <x v="64"/>
    <x v="0"/>
    <n v="75"/>
    <x v="4"/>
    <x v="5"/>
    <n v="13"/>
    <x v="1"/>
    <x v="2"/>
    <n v="4"/>
    <n v="7"/>
    <n v="150000"/>
    <x v="0"/>
    <n v="445414"/>
    <x v="0"/>
    <n v="33.676534639683531"/>
  </r>
  <r>
    <x v="65"/>
    <x v="1"/>
    <n v="72"/>
    <x v="4"/>
    <x v="5"/>
    <n v="20"/>
    <x v="0"/>
    <x v="1"/>
    <n v="5"/>
    <n v="4"/>
    <n v="0"/>
    <x v="1"/>
    <n v="296838"/>
    <x v="0"/>
    <n v="0"/>
  </r>
  <r>
    <x v="66"/>
    <x v="1"/>
    <n v="36"/>
    <x v="2"/>
    <x v="0"/>
    <n v="4"/>
    <x v="3"/>
    <x v="3"/>
    <n v="0"/>
    <n v="4"/>
    <n v="0"/>
    <x v="1"/>
    <n v="66624"/>
    <x v="0"/>
    <n v="0"/>
  </r>
  <r>
    <x v="67"/>
    <x v="0"/>
    <n v="38"/>
    <x v="2"/>
    <x v="0"/>
    <n v="10"/>
    <x v="2"/>
    <x v="4"/>
    <n v="0"/>
    <n v="6"/>
    <n v="0"/>
    <x v="1"/>
    <n v="126352"/>
    <x v="0"/>
    <n v="0"/>
  </r>
  <r>
    <x v="68"/>
    <x v="1"/>
    <n v="84"/>
    <x v="4"/>
    <x v="0"/>
    <n v="3"/>
    <x v="3"/>
    <x v="2"/>
    <n v="2"/>
    <n v="6"/>
    <n v="600000"/>
    <x v="0"/>
    <n v="701224"/>
    <x v="0"/>
    <n v="85.564669777417762"/>
  </r>
  <r>
    <x v="69"/>
    <x v="1"/>
    <n v="25"/>
    <x v="3"/>
    <x v="3"/>
    <n v="9"/>
    <x v="2"/>
    <x v="2"/>
    <n v="3"/>
    <n v="3"/>
    <n v="0"/>
    <x v="1"/>
    <n v="178515"/>
    <x v="0"/>
    <n v="0"/>
  </r>
  <r>
    <x v="70"/>
    <x v="1"/>
    <n v="18"/>
    <x v="1"/>
    <x v="2"/>
    <n v="13"/>
    <x v="1"/>
    <x v="0"/>
    <n v="1"/>
    <n v="9"/>
    <n v="0"/>
    <x v="1"/>
    <n v="183526"/>
    <x v="0"/>
    <n v="0"/>
  </r>
  <r>
    <x v="71"/>
    <x v="1"/>
    <n v="82"/>
    <x v="4"/>
    <x v="0"/>
    <n v="18"/>
    <x v="0"/>
    <x v="0"/>
    <n v="0"/>
    <n v="2"/>
    <n v="0"/>
    <x v="1"/>
    <n v="195790"/>
    <x v="0"/>
    <n v="0"/>
  </r>
  <r>
    <x v="72"/>
    <x v="0"/>
    <n v="66"/>
    <x v="4"/>
    <x v="1"/>
    <n v="15"/>
    <x v="1"/>
    <x v="4"/>
    <n v="4"/>
    <n v="6"/>
    <n v="250000"/>
    <x v="0"/>
    <n v="536218"/>
    <x v="0"/>
    <n v="46.622828774863954"/>
  </r>
  <r>
    <x v="73"/>
    <x v="1"/>
    <n v="54"/>
    <x v="2"/>
    <x v="3"/>
    <n v="4"/>
    <x v="3"/>
    <x v="2"/>
    <n v="2"/>
    <n v="7"/>
    <n v="0"/>
    <x v="1"/>
    <n v="0"/>
    <x v="0"/>
    <n v="0"/>
  </r>
  <r>
    <x v="74"/>
    <x v="0"/>
    <n v="35"/>
    <x v="3"/>
    <x v="4"/>
    <n v="15"/>
    <x v="1"/>
    <x v="4"/>
    <n v="1"/>
    <n v="9"/>
    <n v="0"/>
    <x v="1"/>
    <n v="265372"/>
    <x v="0"/>
    <n v="0"/>
  </r>
  <r>
    <x v="75"/>
    <x v="1"/>
    <n v="80"/>
    <x v="4"/>
    <x v="1"/>
    <n v="2"/>
    <x v="3"/>
    <x v="0"/>
    <n v="2"/>
    <n v="3"/>
    <n v="0"/>
    <x v="1"/>
    <n v="70537"/>
    <x v="0"/>
    <n v="0"/>
  </r>
  <r>
    <x v="76"/>
    <x v="1"/>
    <n v="61"/>
    <x v="4"/>
    <x v="1"/>
    <n v="15"/>
    <x v="1"/>
    <x v="0"/>
    <n v="1"/>
    <n v="3"/>
    <n v="0"/>
    <x v="1"/>
    <n v="203827"/>
    <x v="0"/>
    <n v="0"/>
  </r>
  <r>
    <x v="77"/>
    <x v="1"/>
    <n v="41"/>
    <x v="2"/>
    <x v="0"/>
    <n v="8"/>
    <x v="2"/>
    <x v="2"/>
    <n v="1"/>
    <n v="7"/>
    <n v="250000"/>
    <x v="0"/>
    <n v="388383"/>
    <x v="0"/>
    <n v="64.369449744195805"/>
  </r>
  <r>
    <x v="78"/>
    <x v="0"/>
    <n v="33"/>
    <x v="3"/>
    <x v="4"/>
    <n v="8"/>
    <x v="2"/>
    <x v="1"/>
    <n v="5"/>
    <n v="4"/>
    <n v="150000"/>
    <x v="0"/>
    <n v="322455"/>
    <x v="0"/>
    <n v="46.518118807275435"/>
  </r>
  <r>
    <x v="79"/>
    <x v="1"/>
    <n v="68"/>
    <x v="4"/>
    <x v="4"/>
    <n v="17"/>
    <x v="0"/>
    <x v="3"/>
    <n v="0"/>
    <n v="8"/>
    <n v="0"/>
    <x v="1"/>
    <n v="238324"/>
    <x v="0"/>
    <n v="0"/>
  </r>
  <r>
    <x v="80"/>
    <x v="0"/>
    <n v="33"/>
    <x v="3"/>
    <x v="3"/>
    <n v="12"/>
    <x v="1"/>
    <x v="0"/>
    <n v="2"/>
    <n v="7"/>
    <n v="0"/>
    <x v="1"/>
    <n v="239794"/>
    <x v="0"/>
    <n v="0"/>
  </r>
  <r>
    <x v="81"/>
    <x v="1"/>
    <n v="14"/>
    <x v="1"/>
    <x v="4"/>
    <n v="19"/>
    <x v="0"/>
    <x v="0"/>
    <n v="2"/>
    <n v="5"/>
    <n v="150000"/>
    <x v="0"/>
    <n v="441721"/>
    <x v="0"/>
    <n v="33.958086665564913"/>
  </r>
  <r>
    <x v="82"/>
    <x v="0"/>
    <n v="21"/>
    <x v="3"/>
    <x v="2"/>
    <n v="10"/>
    <x v="2"/>
    <x v="1"/>
    <n v="5"/>
    <n v="7"/>
    <n v="150000"/>
    <x v="0"/>
    <n v="90000"/>
    <x v="1"/>
    <n v="166.66666666666669"/>
  </r>
  <r>
    <x v="83"/>
    <x v="1"/>
    <n v="48"/>
    <x v="2"/>
    <x v="0"/>
    <n v="9"/>
    <x v="2"/>
    <x v="1"/>
    <n v="4"/>
    <n v="3"/>
    <n v="600000"/>
    <x v="0"/>
    <n v="773006"/>
    <x v="0"/>
    <n v="77.619061171582103"/>
  </r>
  <r>
    <x v="84"/>
    <x v="0"/>
    <n v="20"/>
    <x v="3"/>
    <x v="4"/>
    <n v="5"/>
    <x v="3"/>
    <x v="4"/>
    <n v="4"/>
    <n v="2"/>
    <n v="0"/>
    <x v="1"/>
    <n v="97903"/>
    <x v="0"/>
    <n v="0"/>
  </r>
  <r>
    <x v="85"/>
    <x v="0"/>
    <n v="8"/>
    <x v="5"/>
    <x v="3"/>
    <n v="6"/>
    <x v="2"/>
    <x v="4"/>
    <n v="0"/>
    <n v="6"/>
    <n v="0"/>
    <x v="1"/>
    <n v="82944"/>
    <x v="0"/>
    <n v="0"/>
  </r>
  <r>
    <x v="86"/>
    <x v="1"/>
    <n v="7"/>
    <x v="5"/>
    <x v="2"/>
    <n v="20"/>
    <x v="0"/>
    <x v="3"/>
    <n v="0"/>
    <n v="2"/>
    <n v="0"/>
    <x v="1"/>
    <n v="291404"/>
    <x v="0"/>
    <n v="0"/>
  </r>
  <r>
    <x v="87"/>
    <x v="0"/>
    <n v="67"/>
    <x v="4"/>
    <x v="5"/>
    <n v="2"/>
    <x v="3"/>
    <x v="3"/>
    <n v="3"/>
    <n v="3"/>
    <n v="0"/>
    <x v="1"/>
    <n v="73808"/>
    <x v="0"/>
    <n v="0"/>
  </r>
  <r>
    <x v="88"/>
    <x v="1"/>
    <n v="17"/>
    <x v="1"/>
    <x v="5"/>
    <n v="13"/>
    <x v="1"/>
    <x v="2"/>
    <n v="5"/>
    <n v="6"/>
    <n v="150000"/>
    <x v="0"/>
    <n v="411396"/>
    <x v="0"/>
    <n v="36.461219846571183"/>
  </r>
  <r>
    <x v="89"/>
    <x v="1"/>
    <n v="33"/>
    <x v="3"/>
    <x v="2"/>
    <n v="6"/>
    <x v="2"/>
    <x v="4"/>
    <n v="4"/>
    <n v="5"/>
    <n v="0"/>
    <x v="1"/>
    <n v="111287"/>
    <x v="0"/>
    <n v="0"/>
  </r>
  <r>
    <x v="90"/>
    <x v="1"/>
    <n v="48"/>
    <x v="2"/>
    <x v="3"/>
    <n v="5"/>
    <x v="3"/>
    <x v="0"/>
    <n v="1"/>
    <n v="8"/>
    <n v="0"/>
    <x v="1"/>
    <n v="103317"/>
    <x v="0"/>
    <n v="0"/>
  </r>
  <r>
    <x v="91"/>
    <x v="1"/>
    <n v="76"/>
    <x v="4"/>
    <x v="2"/>
    <n v="1"/>
    <x v="3"/>
    <x v="4"/>
    <n v="2"/>
    <n v="9"/>
    <n v="600000"/>
    <x v="0"/>
    <n v="676201"/>
    <x v="0"/>
    <n v="88.731013411692672"/>
  </r>
  <r>
    <x v="92"/>
    <x v="1"/>
    <n v="59"/>
    <x v="2"/>
    <x v="0"/>
    <n v="6"/>
    <x v="2"/>
    <x v="0"/>
    <n v="0"/>
    <n v="3"/>
    <n v="0"/>
    <x v="1"/>
    <n v="75591"/>
    <x v="0"/>
    <n v="0"/>
  </r>
  <r>
    <x v="93"/>
    <x v="1"/>
    <n v="22"/>
    <x v="3"/>
    <x v="0"/>
    <n v="6"/>
    <x v="2"/>
    <x v="1"/>
    <n v="2"/>
    <n v="3"/>
    <n v="250000"/>
    <x v="0"/>
    <n v="377791"/>
    <x v="0"/>
    <n v="66.174154492828038"/>
  </r>
  <r>
    <x v="94"/>
    <x v="1"/>
    <n v="30"/>
    <x v="3"/>
    <x v="5"/>
    <n v="16"/>
    <x v="0"/>
    <x v="4"/>
    <n v="2"/>
    <n v="3"/>
    <n v="613000"/>
    <x v="0"/>
    <n v="360000"/>
    <x v="1"/>
    <n v="170.27777777777777"/>
  </r>
  <r>
    <x v="95"/>
    <x v="1"/>
    <n v="38"/>
    <x v="2"/>
    <x v="4"/>
    <n v="4"/>
    <x v="3"/>
    <x v="1"/>
    <n v="3"/>
    <n v="6"/>
    <n v="0"/>
    <x v="1"/>
    <n v="146130"/>
    <x v="0"/>
    <n v="0"/>
  </r>
  <r>
    <x v="96"/>
    <x v="1"/>
    <n v="51"/>
    <x v="2"/>
    <x v="3"/>
    <n v="11"/>
    <x v="1"/>
    <x v="3"/>
    <n v="4"/>
    <n v="1"/>
    <n v="0"/>
    <x v="1"/>
    <n v="149482"/>
    <x v="0"/>
    <n v="0"/>
  </r>
  <r>
    <x v="97"/>
    <x v="1"/>
    <n v="54"/>
    <x v="2"/>
    <x v="5"/>
    <n v="9"/>
    <x v="2"/>
    <x v="3"/>
    <n v="0"/>
    <n v="7"/>
    <n v="150000"/>
    <x v="0"/>
    <n v="233587"/>
    <x v="0"/>
    <n v="64.215902426076795"/>
  </r>
  <r>
    <x v="98"/>
    <x v="1"/>
    <n v="8"/>
    <x v="5"/>
    <x v="4"/>
    <n v="3"/>
    <x v="3"/>
    <x v="2"/>
    <n v="2"/>
    <n v="1"/>
    <n v="0"/>
    <x v="1"/>
    <n v="64624"/>
    <x v="0"/>
    <n v="0"/>
  </r>
  <r>
    <x v="99"/>
    <x v="0"/>
    <n v="27"/>
    <x v="3"/>
    <x v="4"/>
    <n v="19"/>
    <x v="0"/>
    <x v="4"/>
    <n v="0"/>
    <n v="5"/>
    <n v="0"/>
    <x v="1"/>
    <n v="260321"/>
    <x v="0"/>
    <n v="0"/>
  </r>
  <r>
    <x v="100"/>
    <x v="0"/>
    <n v="27"/>
    <x v="3"/>
    <x v="0"/>
    <n v="8"/>
    <x v="2"/>
    <x v="1"/>
    <n v="1"/>
    <n v="8"/>
    <n v="600000"/>
    <x v="0"/>
    <n v="787259"/>
    <x v="0"/>
    <n v="76.213800032771942"/>
  </r>
  <r>
    <x v="101"/>
    <x v="1"/>
    <n v="21"/>
    <x v="3"/>
    <x v="1"/>
    <n v="5"/>
    <x v="3"/>
    <x v="0"/>
    <n v="3"/>
    <n v="4"/>
    <n v="250000"/>
    <x v="0"/>
    <n v="374910"/>
    <x v="0"/>
    <n v="66.682670507588497"/>
  </r>
  <r>
    <x v="102"/>
    <x v="1"/>
    <n v="30"/>
    <x v="3"/>
    <x v="1"/>
    <n v="4"/>
    <x v="3"/>
    <x v="3"/>
    <n v="1"/>
    <n v="5"/>
    <n v="0"/>
    <x v="1"/>
    <n v="85029"/>
    <x v="0"/>
    <n v="0"/>
  </r>
  <r>
    <x v="103"/>
    <x v="1"/>
    <n v="28"/>
    <x v="3"/>
    <x v="2"/>
    <n v="6"/>
    <x v="2"/>
    <x v="3"/>
    <n v="0"/>
    <n v="4"/>
    <n v="400000"/>
    <x v="0"/>
    <n v="463828"/>
    <x v="0"/>
    <n v="86.238864406633496"/>
  </r>
  <r>
    <x v="104"/>
    <x v="1"/>
    <n v="64"/>
    <x v="4"/>
    <x v="0"/>
    <n v="2"/>
    <x v="3"/>
    <x v="0"/>
    <n v="0"/>
    <n v="4"/>
    <n v="250000"/>
    <x v="0"/>
    <n v="301976"/>
    <x v="0"/>
    <n v="82.788036135322002"/>
  </r>
  <r>
    <x v="105"/>
    <x v="1"/>
    <n v="69"/>
    <x v="4"/>
    <x v="4"/>
    <n v="20"/>
    <x v="0"/>
    <x v="1"/>
    <n v="4"/>
    <n v="8"/>
    <n v="600000"/>
    <x v="0"/>
    <n v="778464"/>
    <x v="0"/>
    <n v="77.074855099272412"/>
  </r>
  <r>
    <x v="106"/>
    <x v="1"/>
    <n v="61"/>
    <x v="4"/>
    <x v="3"/>
    <n v="11"/>
    <x v="1"/>
    <x v="1"/>
    <n v="2"/>
    <n v="2"/>
    <n v="0"/>
    <x v="1"/>
    <n v="133371"/>
    <x v="0"/>
    <n v="0"/>
  </r>
  <r>
    <x v="107"/>
    <x v="1"/>
    <n v="48"/>
    <x v="2"/>
    <x v="1"/>
    <n v="4"/>
    <x v="3"/>
    <x v="4"/>
    <n v="2"/>
    <n v="1"/>
    <n v="150000"/>
    <x v="0"/>
    <n v="194166"/>
    <x v="0"/>
    <n v="77.253484132134361"/>
  </r>
  <r>
    <x v="108"/>
    <x v="1"/>
    <n v="19"/>
    <x v="1"/>
    <x v="4"/>
    <n v="15"/>
    <x v="1"/>
    <x v="4"/>
    <n v="1"/>
    <n v="3"/>
    <n v="600000"/>
    <x v="0"/>
    <n v="836607"/>
    <x v="0"/>
    <n v="71.71826197963918"/>
  </r>
  <r>
    <x v="109"/>
    <x v="0"/>
    <n v="4"/>
    <x v="0"/>
    <x v="1"/>
    <n v="6"/>
    <x v="2"/>
    <x v="2"/>
    <n v="3"/>
    <n v="9"/>
    <n v="0"/>
    <x v="1"/>
    <n v="177921"/>
    <x v="0"/>
    <n v="0"/>
  </r>
  <r>
    <x v="110"/>
    <x v="1"/>
    <n v="35"/>
    <x v="3"/>
    <x v="1"/>
    <n v="17"/>
    <x v="0"/>
    <x v="3"/>
    <n v="5"/>
    <n v="4"/>
    <n v="0"/>
    <x v="1"/>
    <n v="217797"/>
    <x v="0"/>
    <n v="0"/>
  </r>
  <r>
    <x v="111"/>
    <x v="0"/>
    <n v="64"/>
    <x v="4"/>
    <x v="1"/>
    <n v="6"/>
    <x v="2"/>
    <x v="4"/>
    <n v="2"/>
    <n v="5"/>
    <n v="0"/>
    <x v="1"/>
    <n v="111598"/>
    <x v="0"/>
    <n v="0"/>
  </r>
  <r>
    <x v="112"/>
    <x v="1"/>
    <n v="49"/>
    <x v="2"/>
    <x v="3"/>
    <n v="19"/>
    <x v="0"/>
    <x v="1"/>
    <n v="4"/>
    <n v="2"/>
    <n v="400000"/>
    <x v="0"/>
    <n v="691432"/>
    <x v="0"/>
    <n v="57.850952805192705"/>
  </r>
  <r>
    <x v="113"/>
    <x v="1"/>
    <n v="17"/>
    <x v="1"/>
    <x v="0"/>
    <n v="2"/>
    <x v="3"/>
    <x v="0"/>
    <n v="1"/>
    <n v="4"/>
    <n v="250000"/>
    <x v="0"/>
    <n v="305919"/>
    <x v="0"/>
    <n v="81.720978428930536"/>
  </r>
  <r>
    <x v="114"/>
    <x v="0"/>
    <n v="44"/>
    <x v="2"/>
    <x v="3"/>
    <n v="15"/>
    <x v="1"/>
    <x v="1"/>
    <n v="1"/>
    <n v="2"/>
    <n v="250000"/>
    <x v="0"/>
    <n v="462010"/>
    <x v="0"/>
    <n v="54.111382870500634"/>
  </r>
  <r>
    <x v="115"/>
    <x v="1"/>
    <n v="30"/>
    <x v="3"/>
    <x v="5"/>
    <n v="11"/>
    <x v="1"/>
    <x v="3"/>
    <n v="5"/>
    <n v="2"/>
    <n v="0"/>
    <x v="1"/>
    <n v="259333"/>
    <x v="0"/>
    <n v="0"/>
  </r>
  <r>
    <x v="116"/>
    <x v="0"/>
    <n v="46"/>
    <x v="2"/>
    <x v="4"/>
    <n v="8"/>
    <x v="2"/>
    <x v="1"/>
    <n v="4"/>
    <n v="4"/>
    <n v="400000"/>
    <x v="0"/>
    <n v="569688"/>
    <x v="0"/>
    <n v="70.213871452444138"/>
  </r>
  <r>
    <x v="117"/>
    <x v="1"/>
    <n v="6"/>
    <x v="5"/>
    <x v="0"/>
    <n v="19"/>
    <x v="0"/>
    <x v="2"/>
    <n v="3"/>
    <n v="6"/>
    <n v="0"/>
    <x v="1"/>
    <n v="317221"/>
    <x v="0"/>
    <n v="0"/>
  </r>
  <r>
    <x v="118"/>
    <x v="1"/>
    <n v="37"/>
    <x v="2"/>
    <x v="0"/>
    <n v="13"/>
    <x v="1"/>
    <x v="3"/>
    <n v="4"/>
    <n v="7"/>
    <n v="0"/>
    <x v="1"/>
    <n v="159954"/>
    <x v="0"/>
    <n v="0"/>
  </r>
  <r>
    <x v="119"/>
    <x v="0"/>
    <n v="24"/>
    <x v="3"/>
    <x v="0"/>
    <n v="12"/>
    <x v="1"/>
    <x v="0"/>
    <n v="3"/>
    <n v="3"/>
    <n v="0"/>
    <x v="1"/>
    <n v="240927"/>
    <x v="0"/>
    <n v="0"/>
  </r>
  <r>
    <x v="120"/>
    <x v="1"/>
    <n v="46"/>
    <x v="2"/>
    <x v="0"/>
    <n v="5"/>
    <x v="3"/>
    <x v="2"/>
    <n v="4"/>
    <n v="3"/>
    <n v="600000"/>
    <x v="0"/>
    <n v="731255"/>
    <x v="0"/>
    <n v="82.050721020710967"/>
  </r>
  <r>
    <x v="121"/>
    <x v="0"/>
    <n v="53"/>
    <x v="2"/>
    <x v="3"/>
    <n v="6"/>
    <x v="2"/>
    <x v="3"/>
    <n v="4"/>
    <n v="6"/>
    <n v="250000"/>
    <x v="0"/>
    <n v="415610"/>
    <x v="0"/>
    <n v="60.152546858834"/>
  </r>
  <r>
    <x v="122"/>
    <x v="1"/>
    <n v="60"/>
    <x v="4"/>
    <x v="0"/>
    <n v="4"/>
    <x v="3"/>
    <x v="0"/>
    <n v="0"/>
    <n v="3"/>
    <n v="0"/>
    <x v="1"/>
    <n v="39636"/>
    <x v="0"/>
    <n v="0"/>
  </r>
  <r>
    <x v="123"/>
    <x v="0"/>
    <n v="63"/>
    <x v="4"/>
    <x v="2"/>
    <n v="19"/>
    <x v="0"/>
    <x v="2"/>
    <n v="1"/>
    <n v="2"/>
    <n v="0"/>
    <x v="1"/>
    <n v="245513"/>
    <x v="0"/>
    <n v="0"/>
  </r>
  <r>
    <x v="124"/>
    <x v="0"/>
    <n v="32"/>
    <x v="3"/>
    <x v="4"/>
    <n v="20"/>
    <x v="0"/>
    <x v="2"/>
    <n v="4"/>
    <n v="8"/>
    <n v="0"/>
    <x v="1"/>
    <n v="220092"/>
    <x v="0"/>
    <n v="0"/>
  </r>
  <r>
    <x v="125"/>
    <x v="1"/>
    <n v="33"/>
    <x v="3"/>
    <x v="0"/>
    <n v="1"/>
    <x v="3"/>
    <x v="3"/>
    <n v="5"/>
    <n v="5"/>
    <n v="400000"/>
    <x v="0"/>
    <n v="490728"/>
    <x v="0"/>
    <n v="81.511550186661452"/>
  </r>
  <r>
    <x v="126"/>
    <x v="1"/>
    <n v="67"/>
    <x v="4"/>
    <x v="4"/>
    <n v="20"/>
    <x v="0"/>
    <x v="4"/>
    <n v="4"/>
    <n v="1"/>
    <n v="250000"/>
    <x v="0"/>
    <n v="418032"/>
    <x v="0"/>
    <n v="59.804034140927008"/>
  </r>
  <r>
    <x v="127"/>
    <x v="0"/>
    <n v="18"/>
    <x v="1"/>
    <x v="2"/>
    <n v="17"/>
    <x v="0"/>
    <x v="2"/>
    <n v="2"/>
    <n v="3"/>
    <n v="600000"/>
    <x v="0"/>
    <n v="881389"/>
    <x v="0"/>
    <n v="68.074368978963889"/>
  </r>
  <r>
    <x v="128"/>
    <x v="1"/>
    <n v="25"/>
    <x v="3"/>
    <x v="2"/>
    <n v="12"/>
    <x v="1"/>
    <x v="2"/>
    <n v="1"/>
    <n v="8"/>
    <n v="0"/>
    <x v="1"/>
    <n v="236562"/>
    <x v="0"/>
    <n v="0"/>
  </r>
  <r>
    <x v="129"/>
    <x v="1"/>
    <n v="54"/>
    <x v="2"/>
    <x v="4"/>
    <n v="15"/>
    <x v="1"/>
    <x v="0"/>
    <n v="2"/>
    <n v="4"/>
    <n v="0"/>
    <x v="1"/>
    <n v="190324"/>
    <x v="0"/>
    <n v="0"/>
  </r>
  <r>
    <x v="130"/>
    <x v="1"/>
    <n v="58"/>
    <x v="2"/>
    <x v="1"/>
    <n v="1"/>
    <x v="3"/>
    <x v="1"/>
    <n v="1"/>
    <n v="7"/>
    <n v="0"/>
    <x v="1"/>
    <n v="91558"/>
    <x v="0"/>
    <n v="0"/>
  </r>
  <r>
    <x v="131"/>
    <x v="0"/>
    <n v="67"/>
    <x v="4"/>
    <x v="5"/>
    <n v="14"/>
    <x v="1"/>
    <x v="3"/>
    <n v="2"/>
    <n v="2"/>
    <n v="600000"/>
    <x v="0"/>
    <n v="826492"/>
    <x v="0"/>
    <n v="72.595983990165664"/>
  </r>
  <r>
    <x v="132"/>
    <x v="0"/>
    <n v="46"/>
    <x v="2"/>
    <x v="1"/>
    <n v="6"/>
    <x v="2"/>
    <x v="3"/>
    <n v="4"/>
    <n v="7"/>
    <n v="150000"/>
    <x v="0"/>
    <n v="317662"/>
    <x v="0"/>
    <n v="47.220001133280029"/>
  </r>
  <r>
    <x v="133"/>
    <x v="0"/>
    <n v="24"/>
    <x v="3"/>
    <x v="1"/>
    <n v="5"/>
    <x v="3"/>
    <x v="4"/>
    <n v="4"/>
    <n v="5"/>
    <n v="400000"/>
    <x v="0"/>
    <n v="546208"/>
    <x v="0"/>
    <n v="73.232175288534776"/>
  </r>
  <r>
    <x v="134"/>
    <x v="0"/>
    <n v="32"/>
    <x v="3"/>
    <x v="3"/>
    <n v="11"/>
    <x v="1"/>
    <x v="4"/>
    <n v="0"/>
    <n v="5"/>
    <n v="0"/>
    <x v="1"/>
    <n v="186693"/>
    <x v="0"/>
    <n v="0"/>
  </r>
  <r>
    <x v="135"/>
    <x v="0"/>
    <n v="47"/>
    <x v="2"/>
    <x v="1"/>
    <n v="4"/>
    <x v="3"/>
    <x v="3"/>
    <n v="5"/>
    <n v="6"/>
    <n v="150000"/>
    <x v="0"/>
    <n v="312661"/>
    <x v="0"/>
    <n v="47.975283134129299"/>
  </r>
  <r>
    <x v="136"/>
    <x v="0"/>
    <n v="23"/>
    <x v="3"/>
    <x v="0"/>
    <n v="13"/>
    <x v="1"/>
    <x v="4"/>
    <n v="2"/>
    <n v="9"/>
    <n v="0"/>
    <x v="1"/>
    <n v="184120"/>
    <x v="0"/>
    <n v="0"/>
  </r>
  <r>
    <x v="137"/>
    <x v="0"/>
    <n v="66"/>
    <x v="4"/>
    <x v="3"/>
    <n v="11"/>
    <x v="1"/>
    <x v="0"/>
    <n v="3"/>
    <n v="6"/>
    <n v="400000"/>
    <x v="0"/>
    <n v="561104"/>
    <x v="0"/>
    <n v="71.288032165160104"/>
  </r>
  <r>
    <x v="138"/>
    <x v="0"/>
    <n v="27"/>
    <x v="3"/>
    <x v="3"/>
    <n v="3"/>
    <x v="3"/>
    <x v="3"/>
    <n v="0"/>
    <n v="8"/>
    <n v="0"/>
    <x v="1"/>
    <n v="108980"/>
    <x v="0"/>
    <n v="0"/>
  </r>
  <r>
    <x v="139"/>
    <x v="0"/>
    <n v="2"/>
    <x v="0"/>
    <x v="2"/>
    <n v="1"/>
    <x v="3"/>
    <x v="4"/>
    <n v="2"/>
    <n v="7"/>
    <n v="598000"/>
    <x v="0"/>
    <n v="360000"/>
    <x v="1"/>
    <n v="166.11111111111111"/>
  </r>
  <r>
    <x v="140"/>
    <x v="1"/>
    <n v="17"/>
    <x v="1"/>
    <x v="1"/>
    <n v="6"/>
    <x v="2"/>
    <x v="3"/>
    <n v="2"/>
    <n v="9"/>
    <n v="250000"/>
    <x v="0"/>
    <n v="393533"/>
    <x v="0"/>
    <n v="63.527073968383839"/>
  </r>
  <r>
    <x v="141"/>
    <x v="0"/>
    <n v="33"/>
    <x v="3"/>
    <x v="2"/>
    <n v="18"/>
    <x v="0"/>
    <x v="1"/>
    <n v="0"/>
    <n v="4"/>
    <n v="400000"/>
    <x v="0"/>
    <n v="574378"/>
    <x v="0"/>
    <n v="69.640550299628472"/>
  </r>
  <r>
    <x v="142"/>
    <x v="1"/>
    <n v="9"/>
    <x v="5"/>
    <x v="4"/>
    <n v="10"/>
    <x v="2"/>
    <x v="2"/>
    <n v="4"/>
    <n v="2"/>
    <n v="150000"/>
    <x v="0"/>
    <n v="294526"/>
    <x v="0"/>
    <n v="50.929289774077667"/>
  </r>
  <r>
    <x v="143"/>
    <x v="1"/>
    <n v="43"/>
    <x v="2"/>
    <x v="5"/>
    <n v="5"/>
    <x v="3"/>
    <x v="3"/>
    <n v="2"/>
    <n v="7"/>
    <n v="250000"/>
    <x v="0"/>
    <n v="353948"/>
    <x v="0"/>
    <n v="70.631844225705478"/>
  </r>
  <r>
    <x v="144"/>
    <x v="1"/>
    <n v="48"/>
    <x v="2"/>
    <x v="3"/>
    <n v="10"/>
    <x v="2"/>
    <x v="2"/>
    <n v="4"/>
    <n v="6"/>
    <n v="0"/>
    <x v="1"/>
    <n v="200496"/>
    <x v="0"/>
    <n v="0"/>
  </r>
  <r>
    <x v="145"/>
    <x v="0"/>
    <n v="39"/>
    <x v="2"/>
    <x v="4"/>
    <n v="12"/>
    <x v="1"/>
    <x v="4"/>
    <n v="0"/>
    <n v="1"/>
    <n v="150000"/>
    <x v="0"/>
    <n v="223131"/>
    <x v="0"/>
    <n v="67.225083022977543"/>
  </r>
  <r>
    <x v="146"/>
    <x v="0"/>
    <n v="42"/>
    <x v="2"/>
    <x v="4"/>
    <n v="2"/>
    <x v="3"/>
    <x v="2"/>
    <n v="4"/>
    <n v="9"/>
    <n v="0"/>
    <x v="1"/>
    <n v="157030"/>
    <x v="0"/>
    <n v="0"/>
  </r>
  <r>
    <x v="147"/>
    <x v="0"/>
    <n v="26"/>
    <x v="3"/>
    <x v="0"/>
    <n v="13"/>
    <x v="1"/>
    <x v="3"/>
    <n v="1"/>
    <n v="9"/>
    <n v="0"/>
    <x v="1"/>
    <n v="207841"/>
    <x v="0"/>
    <n v="0"/>
  </r>
  <r>
    <x v="148"/>
    <x v="0"/>
    <n v="50"/>
    <x v="2"/>
    <x v="5"/>
    <n v="8"/>
    <x v="2"/>
    <x v="1"/>
    <n v="3"/>
    <n v="2"/>
    <n v="0"/>
    <x v="1"/>
    <n v="144783"/>
    <x v="0"/>
    <n v="0"/>
  </r>
  <r>
    <x v="149"/>
    <x v="1"/>
    <n v="25"/>
    <x v="3"/>
    <x v="4"/>
    <n v="2"/>
    <x v="3"/>
    <x v="4"/>
    <n v="2"/>
    <n v="3"/>
    <n v="0"/>
    <x v="1"/>
    <n v="65934"/>
    <x v="0"/>
    <n v="0"/>
  </r>
  <r>
    <x v="150"/>
    <x v="0"/>
    <n v="24"/>
    <x v="3"/>
    <x v="4"/>
    <n v="20"/>
    <x v="0"/>
    <x v="3"/>
    <n v="5"/>
    <n v="5"/>
    <n v="400000"/>
    <x v="0"/>
    <n v="770990"/>
    <x v="0"/>
    <n v="51.881347358590901"/>
  </r>
  <r>
    <x v="151"/>
    <x v="0"/>
    <n v="13"/>
    <x v="1"/>
    <x v="5"/>
    <n v="1"/>
    <x v="3"/>
    <x v="4"/>
    <n v="3"/>
    <n v="5"/>
    <n v="0"/>
    <x v="1"/>
    <n v="71629"/>
    <x v="0"/>
    <n v="0"/>
  </r>
  <r>
    <x v="152"/>
    <x v="0"/>
    <n v="60"/>
    <x v="4"/>
    <x v="5"/>
    <n v="5"/>
    <x v="3"/>
    <x v="0"/>
    <n v="4"/>
    <n v="1"/>
    <n v="600000"/>
    <x v="0"/>
    <n v="720422"/>
    <x v="0"/>
    <n v="83.284519351158067"/>
  </r>
  <r>
    <x v="153"/>
    <x v="0"/>
    <n v="7"/>
    <x v="5"/>
    <x v="4"/>
    <n v="9"/>
    <x v="2"/>
    <x v="2"/>
    <n v="2"/>
    <n v="8"/>
    <n v="150000"/>
    <x v="0"/>
    <n v="326193"/>
    <x v="0"/>
    <n v="45.985045663150345"/>
  </r>
  <r>
    <x v="154"/>
    <x v="0"/>
    <n v="57"/>
    <x v="2"/>
    <x v="5"/>
    <n v="17"/>
    <x v="0"/>
    <x v="0"/>
    <n v="4"/>
    <n v="8"/>
    <n v="250000"/>
    <x v="0"/>
    <n v="616733"/>
    <x v="0"/>
    <n v="40.536180162242005"/>
  </r>
  <r>
    <x v="155"/>
    <x v="1"/>
    <n v="36"/>
    <x v="2"/>
    <x v="4"/>
    <n v="9"/>
    <x v="2"/>
    <x v="3"/>
    <n v="1"/>
    <n v="4"/>
    <n v="0"/>
    <x v="1"/>
    <n v="128344"/>
    <x v="0"/>
    <n v="0"/>
  </r>
  <r>
    <x v="156"/>
    <x v="0"/>
    <n v="45"/>
    <x v="2"/>
    <x v="4"/>
    <n v="11"/>
    <x v="1"/>
    <x v="1"/>
    <n v="0"/>
    <n v="7"/>
    <n v="150000"/>
    <x v="0"/>
    <n v="340667"/>
    <x v="0"/>
    <n v="44.031268071166267"/>
  </r>
  <r>
    <x v="157"/>
    <x v="1"/>
    <n v="20"/>
    <x v="3"/>
    <x v="0"/>
    <n v="15"/>
    <x v="1"/>
    <x v="4"/>
    <n v="2"/>
    <n v="3"/>
    <n v="0"/>
    <x v="1"/>
    <n v="145143"/>
    <x v="0"/>
    <n v="0"/>
  </r>
  <r>
    <x v="158"/>
    <x v="0"/>
    <n v="65"/>
    <x v="4"/>
    <x v="1"/>
    <n v="6"/>
    <x v="2"/>
    <x v="2"/>
    <n v="1"/>
    <n v="6"/>
    <n v="160000"/>
    <x v="0"/>
    <n v="90000"/>
    <x v="1"/>
    <n v="177.77777777777777"/>
  </r>
  <r>
    <x v="159"/>
    <x v="1"/>
    <n v="8"/>
    <x v="5"/>
    <x v="4"/>
    <n v="3"/>
    <x v="3"/>
    <x v="4"/>
    <n v="1"/>
    <n v="9"/>
    <n v="250000"/>
    <x v="0"/>
    <n v="390407"/>
    <x v="0"/>
    <n v="64.035737064140747"/>
  </r>
  <r>
    <x v="160"/>
    <x v="0"/>
    <n v="16"/>
    <x v="1"/>
    <x v="2"/>
    <n v="17"/>
    <x v="0"/>
    <x v="3"/>
    <n v="2"/>
    <n v="1"/>
    <n v="150000"/>
    <x v="0"/>
    <n v="298126"/>
    <x v="0"/>
    <n v="50.314296639675838"/>
  </r>
  <r>
    <x v="161"/>
    <x v="0"/>
    <n v="14"/>
    <x v="1"/>
    <x v="3"/>
    <n v="5"/>
    <x v="3"/>
    <x v="4"/>
    <n v="4"/>
    <n v="5"/>
    <n v="0"/>
    <x v="1"/>
    <n v="106333"/>
    <x v="0"/>
    <n v="0"/>
  </r>
  <r>
    <x v="162"/>
    <x v="1"/>
    <n v="76"/>
    <x v="4"/>
    <x v="1"/>
    <n v="12"/>
    <x v="1"/>
    <x v="2"/>
    <n v="5"/>
    <n v="4"/>
    <n v="250000"/>
    <x v="0"/>
    <n v="528465"/>
    <x v="0"/>
    <n v="47.306822589953924"/>
  </r>
  <r>
    <x v="163"/>
    <x v="1"/>
    <n v="15"/>
    <x v="1"/>
    <x v="1"/>
    <n v="18"/>
    <x v="0"/>
    <x v="3"/>
    <n v="1"/>
    <n v="8"/>
    <n v="400000"/>
    <x v="0"/>
    <n v="565375"/>
    <x v="0"/>
    <n v="70.749502542560251"/>
  </r>
  <r>
    <x v="164"/>
    <x v="1"/>
    <n v="66"/>
    <x v="4"/>
    <x v="1"/>
    <n v="14"/>
    <x v="1"/>
    <x v="4"/>
    <n v="3"/>
    <n v="1"/>
    <n v="0"/>
    <x v="1"/>
    <n v="232867"/>
    <x v="0"/>
    <n v="0"/>
  </r>
  <r>
    <x v="165"/>
    <x v="0"/>
    <n v="32"/>
    <x v="3"/>
    <x v="0"/>
    <n v="11"/>
    <x v="1"/>
    <x v="1"/>
    <n v="1"/>
    <n v="9"/>
    <n v="0"/>
    <x v="1"/>
    <n v="219479"/>
    <x v="0"/>
    <n v="0"/>
  </r>
  <r>
    <x v="166"/>
    <x v="1"/>
    <n v="63"/>
    <x v="4"/>
    <x v="4"/>
    <n v="9"/>
    <x v="2"/>
    <x v="3"/>
    <n v="5"/>
    <n v="6"/>
    <n v="400000"/>
    <x v="0"/>
    <n v="660497"/>
    <x v="0"/>
    <n v="60.560456746964789"/>
  </r>
  <r>
    <x v="167"/>
    <x v="0"/>
    <n v="51"/>
    <x v="2"/>
    <x v="0"/>
    <n v="2"/>
    <x v="3"/>
    <x v="3"/>
    <n v="4"/>
    <n v="4"/>
    <n v="150000"/>
    <x v="0"/>
    <n v="269342"/>
    <x v="0"/>
    <n v="55.69127726088022"/>
  </r>
  <r>
    <x v="168"/>
    <x v="0"/>
    <n v="25"/>
    <x v="3"/>
    <x v="4"/>
    <n v="12"/>
    <x v="1"/>
    <x v="1"/>
    <n v="4"/>
    <n v="9"/>
    <n v="250000"/>
    <x v="0"/>
    <n v="507332"/>
    <x v="0"/>
    <n v="49.277396261225391"/>
  </r>
  <r>
    <x v="169"/>
    <x v="1"/>
    <n v="58"/>
    <x v="2"/>
    <x v="0"/>
    <n v="3"/>
    <x v="3"/>
    <x v="0"/>
    <n v="3"/>
    <n v="5"/>
    <n v="0"/>
    <x v="1"/>
    <n v="126254"/>
    <x v="0"/>
    <n v="0"/>
  </r>
  <r>
    <x v="170"/>
    <x v="1"/>
    <n v="63"/>
    <x v="4"/>
    <x v="0"/>
    <n v="3"/>
    <x v="3"/>
    <x v="2"/>
    <n v="1"/>
    <n v="5"/>
    <n v="0"/>
    <x v="1"/>
    <n v="74386"/>
    <x v="0"/>
    <n v="0"/>
  </r>
  <r>
    <x v="171"/>
    <x v="0"/>
    <n v="62"/>
    <x v="4"/>
    <x v="3"/>
    <n v="1"/>
    <x v="3"/>
    <x v="0"/>
    <n v="4"/>
    <n v="5"/>
    <n v="400000"/>
    <x v="0"/>
    <n v="477740"/>
    <x v="0"/>
    <n v="83.727550550508639"/>
  </r>
  <r>
    <x v="172"/>
    <x v="0"/>
    <n v="22"/>
    <x v="3"/>
    <x v="2"/>
    <n v="8"/>
    <x v="2"/>
    <x v="4"/>
    <n v="5"/>
    <n v="1"/>
    <n v="400000"/>
    <x v="0"/>
    <n v="520603"/>
    <x v="0"/>
    <n v="76.833979058899004"/>
  </r>
  <r>
    <x v="173"/>
    <x v="1"/>
    <n v="58"/>
    <x v="2"/>
    <x v="0"/>
    <n v="8"/>
    <x v="2"/>
    <x v="1"/>
    <n v="2"/>
    <n v="1"/>
    <n v="0"/>
    <x v="1"/>
    <n v="133925"/>
    <x v="0"/>
    <n v="0"/>
  </r>
  <r>
    <x v="174"/>
    <x v="1"/>
    <n v="58"/>
    <x v="2"/>
    <x v="3"/>
    <n v="11"/>
    <x v="1"/>
    <x v="0"/>
    <n v="0"/>
    <n v="8"/>
    <n v="600000"/>
    <x v="0"/>
    <n v="764974"/>
    <x v="0"/>
    <n v="78.434038281039619"/>
  </r>
  <r>
    <x v="175"/>
    <x v="1"/>
    <n v="49"/>
    <x v="2"/>
    <x v="5"/>
    <n v="9"/>
    <x v="2"/>
    <x v="3"/>
    <n v="0"/>
    <n v="8"/>
    <n v="150000"/>
    <x v="0"/>
    <n v="294551"/>
    <x v="0"/>
    <n v="50.924967153396182"/>
  </r>
  <r>
    <x v="176"/>
    <x v="0"/>
    <n v="52"/>
    <x v="2"/>
    <x v="2"/>
    <n v="5"/>
    <x v="3"/>
    <x v="4"/>
    <n v="0"/>
    <n v="6"/>
    <n v="0"/>
    <x v="1"/>
    <n v="77607"/>
    <x v="0"/>
    <n v="0"/>
  </r>
  <r>
    <x v="177"/>
    <x v="0"/>
    <n v="42"/>
    <x v="2"/>
    <x v="0"/>
    <n v="14"/>
    <x v="1"/>
    <x v="4"/>
    <n v="1"/>
    <n v="4"/>
    <n v="400000"/>
    <x v="0"/>
    <n v="507343"/>
    <x v="0"/>
    <n v="78.84212455873049"/>
  </r>
  <r>
    <x v="178"/>
    <x v="0"/>
    <n v="70"/>
    <x v="4"/>
    <x v="1"/>
    <n v="3"/>
    <x v="3"/>
    <x v="0"/>
    <n v="3"/>
    <n v="2"/>
    <n v="0"/>
    <x v="1"/>
    <n v="108431"/>
    <x v="0"/>
    <n v="0"/>
  </r>
  <r>
    <x v="179"/>
    <x v="0"/>
    <n v="15"/>
    <x v="1"/>
    <x v="5"/>
    <n v="5"/>
    <x v="3"/>
    <x v="0"/>
    <n v="4"/>
    <n v="2"/>
    <n v="0"/>
    <x v="1"/>
    <n v="108569"/>
    <x v="0"/>
    <n v="0"/>
  </r>
  <r>
    <x v="180"/>
    <x v="0"/>
    <n v="54"/>
    <x v="2"/>
    <x v="5"/>
    <n v="5"/>
    <x v="3"/>
    <x v="1"/>
    <n v="2"/>
    <n v="9"/>
    <n v="0"/>
    <x v="1"/>
    <n v="165882"/>
    <x v="0"/>
    <n v="0"/>
  </r>
  <r>
    <x v="181"/>
    <x v="0"/>
    <n v="60"/>
    <x v="4"/>
    <x v="3"/>
    <n v="19"/>
    <x v="0"/>
    <x v="2"/>
    <n v="5"/>
    <n v="5"/>
    <n v="600000"/>
    <x v="0"/>
    <n v="995267"/>
    <x v="0"/>
    <n v="60.285330469110299"/>
  </r>
  <r>
    <x v="182"/>
    <x v="1"/>
    <n v="8"/>
    <x v="5"/>
    <x v="5"/>
    <n v="14"/>
    <x v="1"/>
    <x v="0"/>
    <n v="2"/>
    <n v="4"/>
    <n v="400000"/>
    <x v="0"/>
    <n v="656812"/>
    <x v="0"/>
    <n v="60.900227157847297"/>
  </r>
  <r>
    <x v="183"/>
    <x v="0"/>
    <n v="53"/>
    <x v="2"/>
    <x v="2"/>
    <n v="4"/>
    <x v="3"/>
    <x v="0"/>
    <n v="5"/>
    <n v="1"/>
    <n v="150000"/>
    <x v="0"/>
    <n v="254381"/>
    <x v="0"/>
    <n v="58.966668108074103"/>
  </r>
  <r>
    <x v="184"/>
    <x v="0"/>
    <n v="60"/>
    <x v="4"/>
    <x v="0"/>
    <n v="13"/>
    <x v="1"/>
    <x v="3"/>
    <n v="1"/>
    <n v="7"/>
    <n v="400000"/>
    <x v="0"/>
    <n v="627316"/>
    <x v="0"/>
    <n v="63.763717169656118"/>
  </r>
  <r>
    <x v="185"/>
    <x v="0"/>
    <n v="5"/>
    <x v="5"/>
    <x v="0"/>
    <n v="10"/>
    <x v="2"/>
    <x v="4"/>
    <n v="0"/>
    <n v="3"/>
    <n v="150000"/>
    <x v="0"/>
    <n v="290378"/>
    <x v="0"/>
    <n v="51.656805956374107"/>
  </r>
  <r>
    <x v="186"/>
    <x v="1"/>
    <n v="68"/>
    <x v="4"/>
    <x v="1"/>
    <n v="18"/>
    <x v="0"/>
    <x v="2"/>
    <n v="1"/>
    <n v="6"/>
    <n v="0"/>
    <x v="1"/>
    <n v="259503"/>
    <x v="0"/>
    <n v="0"/>
  </r>
  <r>
    <x v="187"/>
    <x v="0"/>
    <n v="6"/>
    <x v="5"/>
    <x v="3"/>
    <n v="8"/>
    <x v="2"/>
    <x v="3"/>
    <n v="3"/>
    <n v="5"/>
    <n v="150000"/>
    <x v="0"/>
    <n v="278372"/>
    <x v="0"/>
    <n v="53.884729786041696"/>
  </r>
  <r>
    <x v="188"/>
    <x v="0"/>
    <n v="47"/>
    <x v="2"/>
    <x v="1"/>
    <n v="8"/>
    <x v="2"/>
    <x v="1"/>
    <n v="3"/>
    <n v="5"/>
    <n v="250000"/>
    <x v="0"/>
    <n v="423787"/>
    <x v="0"/>
    <n v="58.991899232397401"/>
  </r>
  <r>
    <x v="189"/>
    <x v="1"/>
    <n v="55"/>
    <x v="2"/>
    <x v="5"/>
    <n v="7"/>
    <x v="2"/>
    <x v="1"/>
    <n v="5"/>
    <n v="5"/>
    <n v="250000"/>
    <x v="0"/>
    <n v="464527"/>
    <x v="0"/>
    <n v="53.818184949421664"/>
  </r>
  <r>
    <x v="190"/>
    <x v="0"/>
    <n v="40"/>
    <x v="2"/>
    <x v="1"/>
    <n v="8"/>
    <x v="2"/>
    <x v="0"/>
    <n v="4"/>
    <n v="1"/>
    <n v="250000"/>
    <x v="0"/>
    <n v="402833"/>
    <x v="0"/>
    <n v="62.060456814610518"/>
  </r>
  <r>
    <x v="191"/>
    <x v="0"/>
    <n v="52"/>
    <x v="2"/>
    <x v="2"/>
    <n v="14"/>
    <x v="1"/>
    <x v="0"/>
    <n v="4"/>
    <n v="1"/>
    <n v="600000"/>
    <x v="0"/>
    <n v="819587"/>
    <x v="0"/>
    <n v="73.207603341683068"/>
  </r>
  <r>
    <x v="192"/>
    <x v="0"/>
    <n v="16"/>
    <x v="1"/>
    <x v="0"/>
    <n v="19"/>
    <x v="0"/>
    <x v="1"/>
    <n v="5"/>
    <n v="3"/>
    <n v="600000"/>
    <x v="0"/>
    <n v="830122"/>
    <x v="0"/>
    <n v="72.278532553046418"/>
  </r>
  <r>
    <x v="193"/>
    <x v="0"/>
    <n v="13"/>
    <x v="1"/>
    <x v="5"/>
    <n v="6"/>
    <x v="2"/>
    <x v="0"/>
    <n v="3"/>
    <n v="4"/>
    <n v="0"/>
    <x v="1"/>
    <n v="97981"/>
    <x v="0"/>
    <n v="0"/>
  </r>
  <r>
    <x v="194"/>
    <x v="0"/>
    <n v="30"/>
    <x v="3"/>
    <x v="1"/>
    <n v="1"/>
    <x v="3"/>
    <x v="2"/>
    <n v="3"/>
    <n v="5"/>
    <n v="600000"/>
    <x v="0"/>
    <n v="690623"/>
    <x v="0"/>
    <n v="86.878079646927489"/>
  </r>
  <r>
    <x v="195"/>
    <x v="1"/>
    <n v="19"/>
    <x v="1"/>
    <x v="3"/>
    <n v="15"/>
    <x v="1"/>
    <x v="0"/>
    <n v="3"/>
    <n v="2"/>
    <n v="0"/>
    <x v="1"/>
    <n v="226004"/>
    <x v="0"/>
    <n v="0"/>
  </r>
  <r>
    <x v="196"/>
    <x v="1"/>
    <n v="17"/>
    <x v="1"/>
    <x v="2"/>
    <n v="1"/>
    <x v="3"/>
    <x v="4"/>
    <n v="1"/>
    <n v="8"/>
    <n v="400000"/>
    <x v="0"/>
    <n v="482558"/>
    <x v="0"/>
    <n v="82.891590233712847"/>
  </r>
  <r>
    <x v="197"/>
    <x v="1"/>
    <n v="63"/>
    <x v="4"/>
    <x v="2"/>
    <n v="17"/>
    <x v="0"/>
    <x v="0"/>
    <n v="3"/>
    <n v="2"/>
    <n v="400000"/>
    <x v="0"/>
    <n v="626255"/>
    <x v="0"/>
    <n v="63.871745534965783"/>
  </r>
  <r>
    <x v="198"/>
    <x v="0"/>
    <n v="19"/>
    <x v="1"/>
    <x v="1"/>
    <n v="1"/>
    <x v="3"/>
    <x v="3"/>
    <n v="2"/>
    <n v="9"/>
    <n v="0"/>
    <x v="1"/>
    <n v="106447"/>
    <x v="0"/>
    <n v="0"/>
  </r>
  <r>
    <x v="199"/>
    <x v="0"/>
    <n v="58"/>
    <x v="2"/>
    <x v="0"/>
    <n v="15"/>
    <x v="1"/>
    <x v="2"/>
    <n v="0"/>
    <n v="2"/>
    <n v="600000"/>
    <x v="0"/>
    <n v="757817"/>
    <x v="0"/>
    <n v="79.174787580642828"/>
  </r>
  <r>
    <x v="200"/>
    <x v="0"/>
    <n v="55"/>
    <x v="2"/>
    <x v="1"/>
    <n v="2"/>
    <x v="3"/>
    <x v="3"/>
    <n v="3"/>
    <n v="9"/>
    <n v="150000"/>
    <x v="0"/>
    <n v="248606"/>
    <x v="0"/>
    <n v="60.336435966951719"/>
  </r>
  <r>
    <x v="201"/>
    <x v="1"/>
    <n v="62"/>
    <x v="4"/>
    <x v="5"/>
    <n v="14"/>
    <x v="1"/>
    <x v="3"/>
    <n v="5"/>
    <n v="7"/>
    <n v="0"/>
    <x v="1"/>
    <n v="263408"/>
    <x v="0"/>
    <n v="0"/>
  </r>
  <r>
    <x v="202"/>
    <x v="0"/>
    <n v="23"/>
    <x v="3"/>
    <x v="1"/>
    <n v="8"/>
    <x v="2"/>
    <x v="4"/>
    <n v="0"/>
    <n v="8"/>
    <n v="150000"/>
    <x v="0"/>
    <n v="285032"/>
    <x v="0"/>
    <n v="52.625670100199272"/>
  </r>
  <r>
    <x v="203"/>
    <x v="0"/>
    <n v="9"/>
    <x v="5"/>
    <x v="2"/>
    <n v="8"/>
    <x v="2"/>
    <x v="2"/>
    <n v="1"/>
    <n v="2"/>
    <n v="150000"/>
    <x v="0"/>
    <n v="265136"/>
    <x v="0"/>
    <n v="56.574739001870732"/>
  </r>
  <r>
    <x v="204"/>
    <x v="1"/>
    <n v="12"/>
    <x v="5"/>
    <x v="1"/>
    <n v="19"/>
    <x v="0"/>
    <x v="2"/>
    <n v="5"/>
    <n v="7"/>
    <n v="0"/>
    <x v="1"/>
    <n v="224739"/>
    <x v="0"/>
    <n v="0"/>
  </r>
  <r>
    <x v="205"/>
    <x v="0"/>
    <n v="1"/>
    <x v="0"/>
    <x v="0"/>
    <n v="7"/>
    <x v="2"/>
    <x v="2"/>
    <n v="0"/>
    <n v="6"/>
    <n v="400000"/>
    <x v="0"/>
    <n v="543003"/>
    <x v="0"/>
    <n v="73.66441806030538"/>
  </r>
  <r>
    <x v="206"/>
    <x v="1"/>
    <n v="58"/>
    <x v="2"/>
    <x v="3"/>
    <n v="19"/>
    <x v="0"/>
    <x v="2"/>
    <n v="5"/>
    <n v="4"/>
    <n v="250000"/>
    <x v="0"/>
    <n v="554271"/>
    <x v="0"/>
    <n v="45.104290139660925"/>
  </r>
  <r>
    <x v="207"/>
    <x v="1"/>
    <n v="1"/>
    <x v="0"/>
    <x v="4"/>
    <n v="6"/>
    <x v="2"/>
    <x v="2"/>
    <n v="1"/>
    <n v="7"/>
    <n v="600000"/>
    <x v="0"/>
    <n v="685609"/>
    <x v="0"/>
    <n v="87.513436958966409"/>
  </r>
  <r>
    <x v="208"/>
    <x v="1"/>
    <n v="34"/>
    <x v="3"/>
    <x v="1"/>
    <n v="6"/>
    <x v="2"/>
    <x v="4"/>
    <n v="2"/>
    <n v="4"/>
    <n v="150000"/>
    <x v="0"/>
    <n v="301242"/>
    <x v="0"/>
    <n v="49.793853446730537"/>
  </r>
  <r>
    <x v="209"/>
    <x v="0"/>
    <n v="48"/>
    <x v="2"/>
    <x v="0"/>
    <n v="3"/>
    <x v="3"/>
    <x v="0"/>
    <n v="1"/>
    <n v="2"/>
    <n v="0"/>
    <x v="1"/>
    <n v="62605"/>
    <x v="0"/>
    <n v="0"/>
  </r>
  <r>
    <x v="210"/>
    <x v="0"/>
    <n v="1"/>
    <x v="0"/>
    <x v="0"/>
    <n v="7"/>
    <x v="2"/>
    <x v="3"/>
    <n v="1"/>
    <n v="7"/>
    <n v="400000"/>
    <x v="0"/>
    <n v="542571"/>
    <x v="0"/>
    <n v="73.723070344710649"/>
  </r>
  <r>
    <x v="211"/>
    <x v="0"/>
    <n v="16"/>
    <x v="1"/>
    <x v="3"/>
    <n v="19"/>
    <x v="0"/>
    <x v="2"/>
    <n v="5"/>
    <n v="8"/>
    <n v="250000"/>
    <x v="0"/>
    <n v="532805"/>
    <x v="0"/>
    <n v="46.921481592702769"/>
  </r>
  <r>
    <x v="212"/>
    <x v="0"/>
    <n v="61"/>
    <x v="4"/>
    <x v="2"/>
    <n v="8"/>
    <x v="2"/>
    <x v="0"/>
    <n v="4"/>
    <n v="2"/>
    <n v="150000"/>
    <x v="0"/>
    <n v="356664"/>
    <x v="0"/>
    <n v="42.056389206648277"/>
  </r>
  <r>
    <x v="213"/>
    <x v="0"/>
    <n v="64"/>
    <x v="4"/>
    <x v="0"/>
    <n v="10"/>
    <x v="2"/>
    <x v="0"/>
    <n v="3"/>
    <n v="5"/>
    <n v="150000"/>
    <x v="0"/>
    <n v="324041"/>
    <x v="0"/>
    <n v="46.290438555614877"/>
  </r>
  <r>
    <x v="214"/>
    <x v="0"/>
    <n v="63"/>
    <x v="4"/>
    <x v="0"/>
    <n v="20"/>
    <x v="0"/>
    <x v="3"/>
    <n v="3"/>
    <n v="1"/>
    <n v="0"/>
    <x v="1"/>
    <n v="227481"/>
    <x v="0"/>
    <n v="0"/>
  </r>
  <r>
    <x v="215"/>
    <x v="0"/>
    <n v="69"/>
    <x v="4"/>
    <x v="0"/>
    <n v="15"/>
    <x v="1"/>
    <x v="4"/>
    <n v="2"/>
    <n v="7"/>
    <n v="0"/>
    <x v="1"/>
    <n v="198024"/>
    <x v="0"/>
    <n v="0"/>
  </r>
  <r>
    <x v="216"/>
    <x v="1"/>
    <n v="22"/>
    <x v="3"/>
    <x v="0"/>
    <n v="15"/>
    <x v="1"/>
    <x v="1"/>
    <n v="2"/>
    <n v="8"/>
    <n v="400000"/>
    <x v="0"/>
    <n v="623515"/>
    <x v="0"/>
    <n v="64.152426164567018"/>
  </r>
  <r>
    <x v="217"/>
    <x v="0"/>
    <n v="67"/>
    <x v="4"/>
    <x v="5"/>
    <n v="1"/>
    <x v="3"/>
    <x v="1"/>
    <n v="3"/>
    <n v="6"/>
    <n v="250000"/>
    <x v="0"/>
    <n v="345752"/>
    <x v="0"/>
    <n v="72.306161641870474"/>
  </r>
  <r>
    <x v="218"/>
    <x v="1"/>
    <n v="76"/>
    <x v="4"/>
    <x v="5"/>
    <n v="20"/>
    <x v="0"/>
    <x v="0"/>
    <n v="4"/>
    <n v="5"/>
    <n v="150000"/>
    <x v="0"/>
    <n v="543477"/>
    <x v="0"/>
    <n v="27.600064032148552"/>
  </r>
  <r>
    <x v="219"/>
    <x v="0"/>
    <n v="26"/>
    <x v="3"/>
    <x v="2"/>
    <n v="7"/>
    <x v="2"/>
    <x v="3"/>
    <n v="3"/>
    <n v="6"/>
    <n v="400000"/>
    <x v="0"/>
    <n v="554018"/>
    <x v="0"/>
    <n v="72.199820222447642"/>
  </r>
  <r>
    <x v="220"/>
    <x v="0"/>
    <n v="16"/>
    <x v="1"/>
    <x v="1"/>
    <n v="4"/>
    <x v="3"/>
    <x v="1"/>
    <n v="4"/>
    <n v="2"/>
    <n v="400000"/>
    <x v="0"/>
    <n v="511274"/>
    <x v="0"/>
    <n v="78.23593611253456"/>
  </r>
  <r>
    <x v="221"/>
    <x v="0"/>
    <n v="51"/>
    <x v="2"/>
    <x v="0"/>
    <n v="6"/>
    <x v="2"/>
    <x v="0"/>
    <n v="2"/>
    <n v="1"/>
    <n v="0"/>
    <x v="1"/>
    <n v="116268"/>
    <x v="0"/>
    <n v="0"/>
  </r>
  <r>
    <x v="222"/>
    <x v="1"/>
    <n v="57"/>
    <x v="2"/>
    <x v="3"/>
    <n v="1"/>
    <x v="3"/>
    <x v="4"/>
    <n v="0"/>
    <n v="7"/>
    <n v="600000"/>
    <x v="0"/>
    <n v="676766"/>
    <x v="0"/>
    <n v="88.656936075393858"/>
  </r>
  <r>
    <x v="223"/>
    <x v="1"/>
    <n v="29"/>
    <x v="3"/>
    <x v="1"/>
    <n v="5"/>
    <x v="3"/>
    <x v="1"/>
    <n v="5"/>
    <n v="7"/>
    <n v="0"/>
    <x v="1"/>
    <n v="152015"/>
    <x v="0"/>
    <n v="0"/>
  </r>
  <r>
    <x v="224"/>
    <x v="1"/>
    <n v="78"/>
    <x v="4"/>
    <x v="3"/>
    <n v="1"/>
    <x v="3"/>
    <x v="0"/>
    <n v="2"/>
    <n v="2"/>
    <n v="250000"/>
    <x v="0"/>
    <n v="303246"/>
    <x v="0"/>
    <n v="82.441318269655667"/>
  </r>
  <r>
    <x v="225"/>
    <x v="1"/>
    <n v="69"/>
    <x v="4"/>
    <x v="1"/>
    <n v="4"/>
    <x v="3"/>
    <x v="0"/>
    <n v="2"/>
    <n v="2"/>
    <n v="150000"/>
    <x v="0"/>
    <n v="240408"/>
    <x v="0"/>
    <n v="62.393930318458622"/>
  </r>
  <r>
    <x v="226"/>
    <x v="0"/>
    <n v="47"/>
    <x v="2"/>
    <x v="2"/>
    <n v="2"/>
    <x v="3"/>
    <x v="2"/>
    <n v="1"/>
    <n v="1"/>
    <n v="400000"/>
    <x v="0"/>
    <n v="445451"/>
    <x v="0"/>
    <n v="89.796633075242852"/>
  </r>
  <r>
    <x v="227"/>
    <x v="1"/>
    <n v="62"/>
    <x v="4"/>
    <x v="0"/>
    <n v="10"/>
    <x v="2"/>
    <x v="4"/>
    <n v="1"/>
    <n v="8"/>
    <n v="150000"/>
    <x v="0"/>
    <n v="298441"/>
    <x v="0"/>
    <n v="50.261190654099131"/>
  </r>
  <r>
    <x v="228"/>
    <x v="0"/>
    <n v="69"/>
    <x v="4"/>
    <x v="0"/>
    <n v="5"/>
    <x v="3"/>
    <x v="2"/>
    <n v="1"/>
    <n v="8"/>
    <n v="0"/>
    <x v="1"/>
    <n v="101909"/>
    <x v="0"/>
    <n v="0"/>
  </r>
  <r>
    <x v="229"/>
    <x v="0"/>
    <n v="76"/>
    <x v="4"/>
    <x v="4"/>
    <n v="10"/>
    <x v="2"/>
    <x v="3"/>
    <n v="5"/>
    <n v="1"/>
    <n v="250000"/>
    <x v="0"/>
    <n v="365302"/>
    <x v="0"/>
    <n v="68.436526490410671"/>
  </r>
  <r>
    <x v="230"/>
    <x v="1"/>
    <n v="16"/>
    <x v="1"/>
    <x v="3"/>
    <n v="1"/>
    <x v="3"/>
    <x v="2"/>
    <n v="1"/>
    <n v="8"/>
    <n v="400000"/>
    <x v="0"/>
    <n v="487279"/>
    <x v="0"/>
    <n v="82.088495502576549"/>
  </r>
  <r>
    <x v="231"/>
    <x v="1"/>
    <n v="48"/>
    <x v="2"/>
    <x v="1"/>
    <n v="6"/>
    <x v="2"/>
    <x v="2"/>
    <n v="4"/>
    <n v="9"/>
    <n v="150000"/>
    <x v="0"/>
    <n v="305104"/>
    <x v="0"/>
    <n v="49.163563899522785"/>
  </r>
  <r>
    <x v="232"/>
    <x v="1"/>
    <n v="39"/>
    <x v="2"/>
    <x v="1"/>
    <n v="13"/>
    <x v="1"/>
    <x v="1"/>
    <n v="3"/>
    <n v="4"/>
    <n v="0"/>
    <x v="1"/>
    <n v="203668"/>
    <x v="0"/>
    <n v="0"/>
  </r>
  <r>
    <x v="233"/>
    <x v="1"/>
    <n v="33"/>
    <x v="3"/>
    <x v="5"/>
    <n v="15"/>
    <x v="1"/>
    <x v="0"/>
    <n v="0"/>
    <n v="1"/>
    <n v="600000"/>
    <x v="0"/>
    <n v="823240"/>
    <x v="0"/>
    <n v="72.882755939944616"/>
  </r>
  <r>
    <x v="234"/>
    <x v="1"/>
    <n v="23"/>
    <x v="3"/>
    <x v="4"/>
    <n v="4"/>
    <x v="3"/>
    <x v="4"/>
    <n v="2"/>
    <n v="1"/>
    <n v="0"/>
    <x v="1"/>
    <n v="95374"/>
    <x v="0"/>
    <n v="0"/>
  </r>
  <r>
    <x v="235"/>
    <x v="1"/>
    <n v="10"/>
    <x v="5"/>
    <x v="5"/>
    <n v="13"/>
    <x v="1"/>
    <x v="2"/>
    <n v="4"/>
    <n v="3"/>
    <n v="250000"/>
    <x v="0"/>
    <n v="416561"/>
    <x v="0"/>
    <n v="60.015219859756428"/>
  </r>
  <r>
    <x v="236"/>
    <x v="1"/>
    <n v="69"/>
    <x v="4"/>
    <x v="5"/>
    <n v="20"/>
    <x v="0"/>
    <x v="4"/>
    <n v="0"/>
    <n v="5"/>
    <n v="0"/>
    <x v="1"/>
    <n v="241285"/>
    <x v="0"/>
    <n v="0"/>
  </r>
  <r>
    <x v="237"/>
    <x v="1"/>
    <n v="34"/>
    <x v="3"/>
    <x v="5"/>
    <n v="15"/>
    <x v="1"/>
    <x v="2"/>
    <n v="4"/>
    <n v="5"/>
    <n v="0"/>
    <x v="1"/>
    <n v="284937"/>
    <x v="0"/>
    <n v="0"/>
  </r>
  <r>
    <x v="238"/>
    <x v="0"/>
    <n v="52"/>
    <x v="2"/>
    <x v="3"/>
    <n v="8"/>
    <x v="2"/>
    <x v="3"/>
    <n v="4"/>
    <n v="9"/>
    <n v="250000"/>
    <x v="0"/>
    <n v="437459"/>
    <x v="0"/>
    <n v="57.148212746794556"/>
  </r>
  <r>
    <x v="239"/>
    <x v="1"/>
    <n v="10"/>
    <x v="5"/>
    <x v="3"/>
    <n v="5"/>
    <x v="3"/>
    <x v="2"/>
    <n v="2"/>
    <n v="2"/>
    <n v="0"/>
    <x v="1"/>
    <n v="0"/>
    <x v="0"/>
    <n v="0"/>
  </r>
  <r>
    <x v="240"/>
    <x v="1"/>
    <n v="19"/>
    <x v="1"/>
    <x v="2"/>
    <n v="15"/>
    <x v="1"/>
    <x v="1"/>
    <n v="3"/>
    <n v="2"/>
    <n v="0"/>
    <x v="1"/>
    <n v="0"/>
    <x v="0"/>
    <n v="0"/>
  </r>
  <r>
    <x v="241"/>
    <x v="0"/>
    <n v="58"/>
    <x v="2"/>
    <x v="2"/>
    <n v="4"/>
    <x v="3"/>
    <x v="0"/>
    <n v="1"/>
    <n v="6"/>
    <n v="0"/>
    <x v="1"/>
    <n v="116097"/>
    <x v="0"/>
    <n v="0"/>
  </r>
  <r>
    <x v="242"/>
    <x v="1"/>
    <n v="1"/>
    <x v="0"/>
    <x v="5"/>
    <n v="12"/>
    <x v="1"/>
    <x v="3"/>
    <n v="5"/>
    <n v="9"/>
    <n v="0"/>
    <x v="1"/>
    <n v="308984"/>
    <x v="0"/>
    <n v="0"/>
  </r>
  <r>
    <x v="243"/>
    <x v="0"/>
    <n v="69"/>
    <x v="4"/>
    <x v="4"/>
    <n v="13"/>
    <x v="1"/>
    <x v="2"/>
    <n v="3"/>
    <n v="1"/>
    <n v="0"/>
    <x v="1"/>
    <n v="120808"/>
    <x v="0"/>
    <n v="0"/>
  </r>
  <r>
    <x v="244"/>
    <x v="0"/>
    <n v="4"/>
    <x v="0"/>
    <x v="1"/>
    <n v="2"/>
    <x v="3"/>
    <x v="4"/>
    <n v="5"/>
    <n v="9"/>
    <n v="0"/>
    <x v="1"/>
    <n v="156895"/>
    <x v="0"/>
    <n v="0"/>
  </r>
  <r>
    <x v="245"/>
    <x v="1"/>
    <n v="16"/>
    <x v="1"/>
    <x v="3"/>
    <n v="19"/>
    <x v="0"/>
    <x v="3"/>
    <n v="2"/>
    <n v="9"/>
    <n v="0"/>
    <x v="1"/>
    <n v="299422"/>
    <x v="0"/>
    <n v="0"/>
  </r>
  <r>
    <x v="246"/>
    <x v="0"/>
    <n v="24"/>
    <x v="3"/>
    <x v="4"/>
    <n v="19"/>
    <x v="0"/>
    <x v="3"/>
    <n v="2"/>
    <n v="9"/>
    <n v="150000"/>
    <x v="0"/>
    <n v="409755"/>
    <x v="0"/>
    <n v="36.607240912252443"/>
  </r>
  <r>
    <x v="247"/>
    <x v="0"/>
    <n v="80"/>
    <x v="4"/>
    <x v="0"/>
    <n v="4"/>
    <x v="3"/>
    <x v="2"/>
    <n v="2"/>
    <n v="5"/>
    <n v="400000"/>
    <x v="0"/>
    <n v="497137"/>
    <x v="0"/>
    <n v="80.460718071678428"/>
  </r>
  <r>
    <x v="248"/>
    <x v="0"/>
    <n v="2"/>
    <x v="0"/>
    <x v="3"/>
    <n v="4"/>
    <x v="3"/>
    <x v="3"/>
    <n v="0"/>
    <n v="9"/>
    <n v="600000"/>
    <x v="0"/>
    <n v="701864"/>
    <x v="0"/>
    <n v="85.486646985740819"/>
  </r>
  <r>
    <x v="249"/>
    <x v="0"/>
    <n v="32"/>
    <x v="3"/>
    <x v="3"/>
    <n v="11"/>
    <x v="1"/>
    <x v="4"/>
    <n v="5"/>
    <n v="4"/>
    <n v="0"/>
    <x v="1"/>
    <n v="157278"/>
    <x v="0"/>
    <n v="0"/>
  </r>
  <r>
    <x v="250"/>
    <x v="1"/>
    <n v="84"/>
    <x v="4"/>
    <x v="2"/>
    <n v="5"/>
    <x v="3"/>
    <x v="3"/>
    <n v="3"/>
    <n v="2"/>
    <n v="150000"/>
    <x v="0"/>
    <n v="235857"/>
    <x v="0"/>
    <n v="63.59785802414175"/>
  </r>
  <r>
    <x v="251"/>
    <x v="0"/>
    <n v="24"/>
    <x v="3"/>
    <x v="1"/>
    <n v="20"/>
    <x v="0"/>
    <x v="4"/>
    <n v="3"/>
    <n v="6"/>
    <n v="0"/>
    <x v="1"/>
    <n v="282855"/>
    <x v="0"/>
    <n v="0"/>
  </r>
  <r>
    <x v="252"/>
    <x v="1"/>
    <n v="12"/>
    <x v="5"/>
    <x v="1"/>
    <n v="11"/>
    <x v="1"/>
    <x v="2"/>
    <n v="4"/>
    <n v="4"/>
    <n v="600000"/>
    <x v="0"/>
    <n v="813927"/>
    <x v="0"/>
    <n v="73.716684665823834"/>
  </r>
  <r>
    <x v="253"/>
    <x v="0"/>
    <n v="50"/>
    <x v="2"/>
    <x v="0"/>
    <n v="10"/>
    <x v="2"/>
    <x v="0"/>
    <n v="4"/>
    <n v="6"/>
    <n v="400000"/>
    <x v="0"/>
    <n v="660954"/>
    <x v="0"/>
    <n v="60.518583744103218"/>
  </r>
  <r>
    <x v="254"/>
    <x v="0"/>
    <n v="35"/>
    <x v="3"/>
    <x v="0"/>
    <n v="8"/>
    <x v="2"/>
    <x v="3"/>
    <n v="4"/>
    <n v="3"/>
    <n v="0"/>
    <x v="1"/>
    <n v="135987"/>
    <x v="0"/>
    <n v="0"/>
  </r>
  <r>
    <x v="255"/>
    <x v="0"/>
    <n v="33"/>
    <x v="3"/>
    <x v="3"/>
    <n v="6"/>
    <x v="2"/>
    <x v="0"/>
    <n v="2"/>
    <n v="6"/>
    <n v="400000"/>
    <x v="0"/>
    <n v="535530"/>
    <x v="0"/>
    <n v="74.69236083879521"/>
  </r>
  <r>
    <x v="256"/>
    <x v="0"/>
    <n v="33"/>
    <x v="3"/>
    <x v="5"/>
    <n v="6"/>
    <x v="2"/>
    <x v="4"/>
    <n v="3"/>
    <n v="2"/>
    <n v="0"/>
    <x v="1"/>
    <n v="108626"/>
    <x v="0"/>
    <n v="0"/>
  </r>
  <r>
    <x v="257"/>
    <x v="1"/>
    <n v="61"/>
    <x v="4"/>
    <x v="2"/>
    <n v="8"/>
    <x v="2"/>
    <x v="3"/>
    <n v="5"/>
    <n v="2"/>
    <n v="600000"/>
    <x v="0"/>
    <n v="753403"/>
    <x v="0"/>
    <n v="79.638652885640226"/>
  </r>
  <r>
    <x v="258"/>
    <x v="1"/>
    <n v="51"/>
    <x v="2"/>
    <x v="2"/>
    <n v="15"/>
    <x v="1"/>
    <x v="1"/>
    <n v="2"/>
    <n v="9"/>
    <n v="400000"/>
    <x v="0"/>
    <n v="585943"/>
    <x v="0"/>
    <n v="68.266025876237109"/>
  </r>
  <r>
    <x v="259"/>
    <x v="0"/>
    <n v="43"/>
    <x v="2"/>
    <x v="3"/>
    <n v="14"/>
    <x v="1"/>
    <x v="0"/>
    <n v="0"/>
    <n v="7"/>
    <n v="150000"/>
    <x v="0"/>
    <n v="364991"/>
    <x v="0"/>
    <n v="41.096903759270774"/>
  </r>
  <r>
    <x v="260"/>
    <x v="0"/>
    <n v="12"/>
    <x v="5"/>
    <x v="4"/>
    <n v="11"/>
    <x v="1"/>
    <x v="3"/>
    <n v="4"/>
    <n v="3"/>
    <n v="250000"/>
    <x v="0"/>
    <n v="433560"/>
    <x v="0"/>
    <n v="57.662145954423835"/>
  </r>
  <r>
    <x v="261"/>
    <x v="1"/>
    <n v="67"/>
    <x v="4"/>
    <x v="5"/>
    <n v="12"/>
    <x v="1"/>
    <x v="0"/>
    <n v="2"/>
    <n v="1"/>
    <n v="150000"/>
    <x v="0"/>
    <n v="258421"/>
    <x v="0"/>
    <n v="58.044818339066872"/>
  </r>
  <r>
    <x v="262"/>
    <x v="0"/>
    <n v="65"/>
    <x v="4"/>
    <x v="3"/>
    <n v="13"/>
    <x v="1"/>
    <x v="3"/>
    <n v="2"/>
    <n v="8"/>
    <n v="0"/>
    <x v="1"/>
    <n v="201421"/>
    <x v="0"/>
    <n v="0"/>
  </r>
  <r>
    <x v="263"/>
    <x v="0"/>
    <n v="33"/>
    <x v="3"/>
    <x v="5"/>
    <n v="8"/>
    <x v="2"/>
    <x v="2"/>
    <n v="0"/>
    <n v="6"/>
    <n v="150000"/>
    <x v="0"/>
    <n v="283406"/>
    <x v="0"/>
    <n v="52.927602097344447"/>
  </r>
  <r>
    <x v="264"/>
    <x v="0"/>
    <n v="40"/>
    <x v="2"/>
    <x v="5"/>
    <n v="18"/>
    <x v="0"/>
    <x v="0"/>
    <n v="1"/>
    <n v="7"/>
    <n v="607000"/>
    <x v="0"/>
    <n v="360000"/>
    <x v="1"/>
    <n v="168.61111111111111"/>
  </r>
  <r>
    <x v="265"/>
    <x v="1"/>
    <n v="74"/>
    <x v="4"/>
    <x v="5"/>
    <n v="1"/>
    <x v="3"/>
    <x v="1"/>
    <n v="3"/>
    <n v="9"/>
    <n v="0"/>
    <x v="1"/>
    <n v="96821"/>
    <x v="0"/>
    <n v="0"/>
  </r>
  <r>
    <x v="266"/>
    <x v="1"/>
    <n v="43"/>
    <x v="2"/>
    <x v="3"/>
    <n v="15"/>
    <x v="1"/>
    <x v="1"/>
    <n v="5"/>
    <n v="5"/>
    <n v="0"/>
    <x v="1"/>
    <n v="223475"/>
    <x v="0"/>
    <n v="0"/>
  </r>
  <r>
    <x v="267"/>
    <x v="1"/>
    <n v="44"/>
    <x v="2"/>
    <x v="2"/>
    <n v="8"/>
    <x v="2"/>
    <x v="4"/>
    <n v="1"/>
    <n v="1"/>
    <n v="400000"/>
    <x v="0"/>
    <n v="471815"/>
    <x v="0"/>
    <n v="84.778991765840431"/>
  </r>
  <r>
    <x v="268"/>
    <x v="0"/>
    <n v="29"/>
    <x v="3"/>
    <x v="2"/>
    <n v="11"/>
    <x v="1"/>
    <x v="3"/>
    <n v="4"/>
    <n v="7"/>
    <n v="0"/>
    <x v="1"/>
    <n v="233806"/>
    <x v="0"/>
    <n v="0"/>
  </r>
  <r>
    <x v="269"/>
    <x v="0"/>
    <n v="13"/>
    <x v="1"/>
    <x v="5"/>
    <n v="12"/>
    <x v="1"/>
    <x v="0"/>
    <n v="2"/>
    <n v="5"/>
    <n v="280000"/>
    <x v="0"/>
    <n v="150000"/>
    <x v="1"/>
    <n v="186.66666666666666"/>
  </r>
  <r>
    <x v="270"/>
    <x v="1"/>
    <n v="12"/>
    <x v="5"/>
    <x v="4"/>
    <n v="12"/>
    <x v="1"/>
    <x v="4"/>
    <n v="0"/>
    <n v="3"/>
    <n v="0"/>
    <x v="1"/>
    <n v="133833"/>
    <x v="0"/>
    <n v="0"/>
  </r>
  <r>
    <x v="271"/>
    <x v="1"/>
    <n v="46"/>
    <x v="2"/>
    <x v="1"/>
    <n v="4"/>
    <x v="3"/>
    <x v="0"/>
    <n v="0"/>
    <n v="9"/>
    <n v="400000"/>
    <x v="0"/>
    <n v="492820"/>
    <x v="0"/>
    <n v="81.165537112941848"/>
  </r>
  <r>
    <x v="272"/>
    <x v="1"/>
    <n v="2"/>
    <x v="0"/>
    <x v="3"/>
    <n v="16"/>
    <x v="0"/>
    <x v="3"/>
    <n v="3"/>
    <n v="1"/>
    <n v="0"/>
    <x v="1"/>
    <n v="138983"/>
    <x v="0"/>
    <n v="0"/>
  </r>
  <r>
    <x v="273"/>
    <x v="1"/>
    <n v="35"/>
    <x v="3"/>
    <x v="1"/>
    <n v="4"/>
    <x v="3"/>
    <x v="1"/>
    <n v="1"/>
    <n v="1"/>
    <n v="400000"/>
    <x v="0"/>
    <n v="445434"/>
    <x v="0"/>
    <n v="89.800060166040311"/>
  </r>
  <r>
    <x v="274"/>
    <x v="0"/>
    <n v="81"/>
    <x v="4"/>
    <x v="4"/>
    <n v="5"/>
    <x v="3"/>
    <x v="2"/>
    <n v="3"/>
    <n v="1"/>
    <n v="400000"/>
    <x v="0"/>
    <n v="492333"/>
    <x v="0"/>
    <n v="81.245823456887919"/>
  </r>
  <r>
    <x v="275"/>
    <x v="1"/>
    <n v="8"/>
    <x v="5"/>
    <x v="3"/>
    <n v="5"/>
    <x v="3"/>
    <x v="1"/>
    <n v="2"/>
    <n v="3"/>
    <n v="400000"/>
    <x v="0"/>
    <n v="519864"/>
    <x v="0"/>
    <n v="76.943200529369221"/>
  </r>
  <r>
    <x v="276"/>
    <x v="0"/>
    <n v="26"/>
    <x v="3"/>
    <x v="5"/>
    <n v="8"/>
    <x v="2"/>
    <x v="4"/>
    <n v="3"/>
    <n v="6"/>
    <n v="0"/>
    <x v="1"/>
    <n v="189804"/>
    <x v="0"/>
    <n v="0"/>
  </r>
  <r>
    <x v="277"/>
    <x v="1"/>
    <n v="74"/>
    <x v="4"/>
    <x v="2"/>
    <n v="10"/>
    <x v="2"/>
    <x v="2"/>
    <n v="5"/>
    <n v="3"/>
    <n v="600000"/>
    <x v="0"/>
    <n v="857001"/>
    <x v="0"/>
    <n v="70.011586917634872"/>
  </r>
  <r>
    <x v="278"/>
    <x v="0"/>
    <n v="34"/>
    <x v="3"/>
    <x v="1"/>
    <n v="17"/>
    <x v="0"/>
    <x v="4"/>
    <n v="0"/>
    <n v="8"/>
    <n v="150000"/>
    <x v="0"/>
    <n v="338377"/>
    <x v="0"/>
    <n v="44.329254056865572"/>
  </r>
  <r>
    <x v="279"/>
    <x v="1"/>
    <n v="7"/>
    <x v="5"/>
    <x v="0"/>
    <n v="9"/>
    <x v="2"/>
    <x v="3"/>
    <n v="0"/>
    <n v="2"/>
    <n v="400000"/>
    <x v="0"/>
    <n v="473961"/>
    <x v="0"/>
    <n v="84.395129557073261"/>
  </r>
  <r>
    <x v="280"/>
    <x v="1"/>
    <n v="68"/>
    <x v="4"/>
    <x v="0"/>
    <n v="19"/>
    <x v="0"/>
    <x v="2"/>
    <n v="4"/>
    <n v="9"/>
    <n v="0"/>
    <x v="1"/>
    <n v="0"/>
    <x v="0"/>
    <n v="0"/>
  </r>
  <r>
    <x v="281"/>
    <x v="1"/>
    <n v="58"/>
    <x v="2"/>
    <x v="4"/>
    <n v="14"/>
    <x v="1"/>
    <x v="4"/>
    <n v="4"/>
    <n v="3"/>
    <n v="600000"/>
    <x v="0"/>
    <n v="873544"/>
    <x v="0"/>
    <n v="68.685721612191259"/>
  </r>
  <r>
    <x v="282"/>
    <x v="1"/>
    <n v="75"/>
    <x v="4"/>
    <x v="5"/>
    <n v="8"/>
    <x v="2"/>
    <x v="3"/>
    <n v="2"/>
    <n v="5"/>
    <n v="250000"/>
    <x v="0"/>
    <n v="355980"/>
    <x v="0"/>
    <n v="70.228664531715268"/>
  </r>
  <r>
    <x v="283"/>
    <x v="0"/>
    <n v="29"/>
    <x v="3"/>
    <x v="1"/>
    <n v="9"/>
    <x v="2"/>
    <x v="1"/>
    <n v="5"/>
    <n v="8"/>
    <n v="0"/>
    <x v="1"/>
    <n v="198703"/>
    <x v="0"/>
    <n v="0"/>
  </r>
  <r>
    <x v="284"/>
    <x v="1"/>
    <n v="36"/>
    <x v="2"/>
    <x v="5"/>
    <n v="11"/>
    <x v="1"/>
    <x v="3"/>
    <n v="1"/>
    <n v="2"/>
    <n v="0"/>
    <x v="1"/>
    <n v="149465"/>
    <x v="0"/>
    <n v="0"/>
  </r>
  <r>
    <x v="285"/>
    <x v="0"/>
    <n v="21"/>
    <x v="3"/>
    <x v="1"/>
    <n v="1"/>
    <x v="3"/>
    <x v="0"/>
    <n v="3"/>
    <n v="6"/>
    <n v="0"/>
    <x v="1"/>
    <n v="71583"/>
    <x v="0"/>
    <n v="0"/>
  </r>
  <r>
    <x v="286"/>
    <x v="0"/>
    <n v="36"/>
    <x v="2"/>
    <x v="4"/>
    <n v="14"/>
    <x v="1"/>
    <x v="3"/>
    <n v="2"/>
    <n v="5"/>
    <n v="0"/>
    <x v="1"/>
    <n v="210178"/>
    <x v="0"/>
    <n v="0"/>
  </r>
  <r>
    <x v="287"/>
    <x v="0"/>
    <n v="10"/>
    <x v="5"/>
    <x v="4"/>
    <n v="5"/>
    <x v="3"/>
    <x v="3"/>
    <n v="4"/>
    <n v="9"/>
    <n v="0"/>
    <x v="1"/>
    <n v="189602"/>
    <x v="0"/>
    <n v="0"/>
  </r>
  <r>
    <x v="288"/>
    <x v="0"/>
    <n v="73"/>
    <x v="4"/>
    <x v="0"/>
    <n v="14"/>
    <x v="1"/>
    <x v="0"/>
    <n v="3"/>
    <n v="5"/>
    <n v="0"/>
    <x v="1"/>
    <n v="144510"/>
    <x v="0"/>
    <n v="0"/>
  </r>
  <r>
    <x v="289"/>
    <x v="1"/>
    <n v="24"/>
    <x v="3"/>
    <x v="5"/>
    <n v="4"/>
    <x v="3"/>
    <x v="4"/>
    <n v="4"/>
    <n v="2"/>
    <n v="400000"/>
    <x v="0"/>
    <n v="508356"/>
    <x v="0"/>
    <n v="78.685016012400752"/>
  </r>
  <r>
    <x v="290"/>
    <x v="0"/>
    <n v="64"/>
    <x v="4"/>
    <x v="3"/>
    <n v="1"/>
    <x v="3"/>
    <x v="4"/>
    <n v="3"/>
    <n v="5"/>
    <n v="150000"/>
    <x v="0"/>
    <n v="230285"/>
    <x v="0"/>
    <n v="65.136678463642866"/>
  </r>
  <r>
    <x v="291"/>
    <x v="0"/>
    <n v="49"/>
    <x v="2"/>
    <x v="0"/>
    <n v="19"/>
    <x v="0"/>
    <x v="3"/>
    <n v="1"/>
    <n v="4"/>
    <n v="0"/>
    <x v="1"/>
    <n v="199254"/>
    <x v="0"/>
    <n v="0"/>
  </r>
  <r>
    <x v="292"/>
    <x v="0"/>
    <n v="36"/>
    <x v="2"/>
    <x v="5"/>
    <n v="8"/>
    <x v="2"/>
    <x v="0"/>
    <n v="2"/>
    <n v="7"/>
    <n v="0"/>
    <x v="1"/>
    <n v="157727"/>
    <x v="0"/>
    <n v="0"/>
  </r>
  <r>
    <x v="293"/>
    <x v="1"/>
    <n v="82"/>
    <x v="4"/>
    <x v="0"/>
    <n v="15"/>
    <x v="1"/>
    <x v="0"/>
    <n v="3"/>
    <n v="6"/>
    <n v="0"/>
    <x v="1"/>
    <n v="209001"/>
    <x v="0"/>
    <n v="0"/>
  </r>
  <r>
    <x v="294"/>
    <x v="1"/>
    <n v="24"/>
    <x v="3"/>
    <x v="3"/>
    <n v="15"/>
    <x v="1"/>
    <x v="1"/>
    <n v="5"/>
    <n v="2"/>
    <n v="0"/>
    <x v="1"/>
    <n v="290699"/>
    <x v="0"/>
    <n v="0"/>
  </r>
  <r>
    <x v="295"/>
    <x v="1"/>
    <n v="23"/>
    <x v="3"/>
    <x v="2"/>
    <n v="9"/>
    <x v="2"/>
    <x v="4"/>
    <n v="0"/>
    <n v="5"/>
    <n v="0"/>
    <x v="1"/>
    <n v="125447"/>
    <x v="0"/>
    <n v="0"/>
  </r>
  <r>
    <x v="296"/>
    <x v="1"/>
    <n v="62"/>
    <x v="4"/>
    <x v="2"/>
    <n v="9"/>
    <x v="2"/>
    <x v="2"/>
    <n v="5"/>
    <n v="7"/>
    <n v="250000"/>
    <x v="0"/>
    <n v="417939"/>
    <x v="0"/>
    <n v="59.81734176518583"/>
  </r>
  <r>
    <x v="297"/>
    <x v="0"/>
    <n v="37"/>
    <x v="2"/>
    <x v="2"/>
    <n v="10"/>
    <x v="2"/>
    <x v="4"/>
    <n v="5"/>
    <n v="7"/>
    <n v="400000"/>
    <x v="0"/>
    <n v="608791"/>
    <x v="0"/>
    <n v="65.703993652994214"/>
  </r>
  <r>
    <x v="298"/>
    <x v="0"/>
    <n v="12"/>
    <x v="5"/>
    <x v="2"/>
    <n v="20"/>
    <x v="0"/>
    <x v="4"/>
    <n v="0"/>
    <n v="5"/>
    <n v="0"/>
    <x v="1"/>
    <n v="143415"/>
    <x v="0"/>
    <n v="0"/>
  </r>
  <r>
    <x v="299"/>
    <x v="1"/>
    <n v="55"/>
    <x v="2"/>
    <x v="1"/>
    <n v="9"/>
    <x v="2"/>
    <x v="1"/>
    <n v="5"/>
    <n v="9"/>
    <n v="160000"/>
    <x v="0"/>
    <n v="90000"/>
    <x v="1"/>
    <n v="177.7777777777777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0741993-B802-4134-8264-D782E4FA0A5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7">
  <location ref="A103:B110" firstHeaderRow="1" firstDataRow="1" firstDataCol="1"/>
  <pivotFields count="15">
    <pivotField showAll="0"/>
    <pivotField showAll="0"/>
    <pivotField showAll="0"/>
    <pivotField axis="axisRow" showAll="0">
      <items count="7">
        <item x="0"/>
        <item x="5"/>
        <item x="1"/>
        <item x="3"/>
        <item x="2"/>
        <item x="4"/>
        <item t="default"/>
      </items>
    </pivotField>
    <pivotField showAll="0"/>
    <pivotField showAll="0"/>
    <pivotField showAll="0">
      <items count="5">
        <item x="3"/>
        <item x="0"/>
        <item x="1"/>
        <item x="2"/>
        <item t="default"/>
      </items>
    </pivotField>
    <pivotField showAll="0" sortType="descending">
      <items count="6">
        <item x="3"/>
        <item x="1"/>
        <item x="0"/>
        <item x="2"/>
        <item x="4"/>
        <item t="default"/>
      </items>
      <autoSortScope>
        <pivotArea dataOnly="0" outline="0" fieldPosition="0">
          <references count="1">
            <reference field="4294967294" count="1" selected="0">
              <x v="0"/>
            </reference>
          </references>
        </pivotArea>
      </autoSortScope>
    </pivotField>
    <pivotField showAll="0"/>
    <pivotField showAll="0"/>
    <pivotField numFmtId="164" showAll="0"/>
    <pivotField showAll="0">
      <items count="3">
        <item x="1"/>
        <item x="0"/>
        <item t="default"/>
      </items>
    </pivotField>
    <pivotField dataField="1" numFmtId="164" showAll="0"/>
    <pivotField showAll="0"/>
    <pivotField numFmtId="164" showAll="0"/>
  </pivotFields>
  <rowFields count="1">
    <field x="3"/>
  </rowFields>
  <rowItems count="7">
    <i>
      <x/>
    </i>
    <i>
      <x v="1"/>
    </i>
    <i>
      <x v="2"/>
    </i>
    <i>
      <x v="3"/>
    </i>
    <i>
      <x v="4"/>
    </i>
    <i>
      <x v="5"/>
    </i>
    <i t="grand">
      <x/>
    </i>
  </rowItems>
  <colItems count="1">
    <i/>
  </colItems>
  <dataFields count="1">
    <dataField name="Sum of Bill_Amount_NGN" fld="12" baseField="0" baseItem="0" numFmtId="165"/>
  </dataFields>
  <formats count="1">
    <format dxfId="0">
      <pivotArea outline="0" collapsedLevelsAreSubtotals="1" fieldPosition="0"/>
    </format>
  </formats>
  <chartFormats count="15">
    <chartFormat chart="8" format="36" series="1">
      <pivotArea type="data" outline="0" fieldPosition="0">
        <references count="1">
          <reference field="4294967294" count="1" selected="0">
            <x v="0"/>
          </reference>
        </references>
      </pivotArea>
    </chartFormat>
    <chartFormat chart="25" format="112" series="1">
      <pivotArea type="data" outline="0" fieldPosition="0">
        <references count="1">
          <reference field="4294967294" count="1" selected="0">
            <x v="0"/>
          </reference>
        </references>
      </pivotArea>
    </chartFormat>
    <chartFormat chart="25" format="127" series="1">
      <pivotArea type="data" outline="0" fieldPosition="0">
        <references count="2">
          <reference field="4294967294" count="1" selected="0">
            <x v="0"/>
          </reference>
          <reference field="3" count="1" selected="0">
            <x v="5"/>
          </reference>
        </references>
      </pivotArea>
    </chartFormat>
    <chartFormat chart="8" format="86" series="1">
      <pivotArea type="data" outline="0" fieldPosition="0">
        <references count="2">
          <reference field="4294967294" count="1" selected="0">
            <x v="0"/>
          </reference>
          <reference field="3" count="1" selected="0">
            <x v="5"/>
          </reference>
        </references>
      </pivotArea>
    </chartFormat>
    <chartFormat chart="25" format="128" series="1">
      <pivotArea type="data" outline="0" fieldPosition="0">
        <references count="2">
          <reference field="4294967294" count="1" selected="0">
            <x v="0"/>
          </reference>
          <reference field="3" count="1" selected="0">
            <x v="4"/>
          </reference>
        </references>
      </pivotArea>
    </chartFormat>
    <chartFormat chart="25" format="129" series="1">
      <pivotArea type="data" outline="0" fieldPosition="0">
        <references count="2">
          <reference field="4294967294" count="1" selected="0">
            <x v="0"/>
          </reference>
          <reference field="3" count="1" selected="0">
            <x v="3"/>
          </reference>
        </references>
      </pivotArea>
    </chartFormat>
    <chartFormat chart="25" format="130" series="1">
      <pivotArea type="data" outline="0" fieldPosition="0">
        <references count="2">
          <reference field="4294967294" count="1" selected="0">
            <x v="0"/>
          </reference>
          <reference field="3" count="1" selected="0">
            <x v="2"/>
          </reference>
        </references>
      </pivotArea>
    </chartFormat>
    <chartFormat chart="25" format="131" series="1">
      <pivotArea type="data" outline="0" fieldPosition="0">
        <references count="2">
          <reference field="4294967294" count="1" selected="0">
            <x v="0"/>
          </reference>
          <reference field="3" count="1" selected="0">
            <x v="1"/>
          </reference>
        </references>
      </pivotArea>
    </chartFormat>
    <chartFormat chart="25" format="132" series="1">
      <pivotArea type="data" outline="0" fieldPosition="0">
        <references count="2">
          <reference field="4294967294" count="1" selected="0">
            <x v="0"/>
          </reference>
          <reference field="3" count="1" selected="0">
            <x v="0"/>
          </reference>
        </references>
      </pivotArea>
    </chartFormat>
    <chartFormat chart="8" format="87" series="1">
      <pivotArea type="data" outline="0" fieldPosition="0">
        <references count="2">
          <reference field="4294967294" count="1" selected="0">
            <x v="0"/>
          </reference>
          <reference field="3" count="1" selected="0">
            <x v="1"/>
          </reference>
        </references>
      </pivotArea>
    </chartFormat>
    <chartFormat chart="8" format="88" series="1">
      <pivotArea type="data" outline="0" fieldPosition="0">
        <references count="2">
          <reference field="4294967294" count="1" selected="0">
            <x v="0"/>
          </reference>
          <reference field="3" count="1" selected="0">
            <x v="2"/>
          </reference>
        </references>
      </pivotArea>
    </chartFormat>
    <chartFormat chart="8" format="89" series="1">
      <pivotArea type="data" outline="0" fieldPosition="0">
        <references count="2">
          <reference field="4294967294" count="1" selected="0">
            <x v="0"/>
          </reference>
          <reference field="3" count="1" selected="0">
            <x v="3"/>
          </reference>
        </references>
      </pivotArea>
    </chartFormat>
    <chartFormat chart="8" format="90" series="1">
      <pivotArea type="data" outline="0" fieldPosition="0">
        <references count="2">
          <reference field="4294967294" count="1" selected="0">
            <x v="0"/>
          </reference>
          <reference field="3" count="1" selected="0">
            <x v="4"/>
          </reference>
        </references>
      </pivotArea>
    </chartFormat>
    <chartFormat chart="40" format="0" series="1">
      <pivotArea type="data" outline="0" fieldPosition="0">
        <references count="1">
          <reference field="4294967294" count="1" selected="0">
            <x v="0"/>
          </reference>
        </references>
      </pivotArea>
    </chartFormat>
    <chartFormat chart="4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A56A9FE-7C82-4CE1-BC02-079D2E540D80}"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2:B18" firstHeaderRow="1" firstDataRow="1" firstDataCol="1"/>
  <pivotFields count="15">
    <pivotField showAll="0"/>
    <pivotField showAll="0"/>
    <pivotField showAll="0"/>
    <pivotField showAll="0">
      <items count="7">
        <item x="1"/>
        <item x="2"/>
        <item x="5"/>
        <item x="4"/>
        <item x="0"/>
        <item x="3"/>
        <item t="default"/>
      </items>
    </pivotField>
    <pivotField showAll="0"/>
    <pivotField showAll="0"/>
    <pivotField showAll="0">
      <items count="5">
        <item x="3"/>
        <item x="0"/>
        <item x="1"/>
        <item x="2"/>
        <item t="default"/>
      </items>
    </pivotField>
    <pivotField axis="axisRow" showAll="0" sortType="ascending">
      <items count="6">
        <item x="3"/>
        <item x="1"/>
        <item x="0"/>
        <item x="2"/>
        <item x="4"/>
        <item t="default"/>
      </items>
      <autoSortScope>
        <pivotArea dataOnly="0" outline="0" fieldPosition="0">
          <references count="1">
            <reference field="4294967294" count="1" selected="0">
              <x v="0"/>
            </reference>
          </references>
        </pivotArea>
      </autoSortScope>
    </pivotField>
    <pivotField showAll="0"/>
    <pivotField showAll="0"/>
    <pivotField numFmtId="164" showAll="0"/>
    <pivotField showAll="0">
      <items count="3">
        <item x="1"/>
        <item x="0"/>
        <item t="default"/>
      </items>
    </pivotField>
    <pivotField dataField="1" numFmtId="164" showAll="0"/>
    <pivotField showAll="0"/>
    <pivotField numFmtId="164" showAll="0"/>
  </pivotFields>
  <rowFields count="1">
    <field x="7"/>
  </rowFields>
  <rowItems count="6">
    <i>
      <x v="1"/>
    </i>
    <i>
      <x v="4"/>
    </i>
    <i>
      <x v="3"/>
    </i>
    <i>
      <x v="2"/>
    </i>
    <i>
      <x/>
    </i>
    <i t="grand">
      <x/>
    </i>
  </rowItems>
  <colItems count="1">
    <i/>
  </colItems>
  <dataFields count="1">
    <dataField name="Sum of Bill_Amount_NGN" fld="12" baseField="0" baseItem="0" numFmtId="164"/>
  </dataFields>
  <formats count="2">
    <format dxfId="2">
      <pivotArea collapsedLevelsAreSubtotals="1" fieldPosition="0">
        <references count="1">
          <reference field="7" count="0"/>
        </references>
      </pivotArea>
    </format>
    <format dxfId="1">
      <pivotArea grandRow="1" outline="0" collapsedLevelsAreSubtotals="1" fieldPosition="0"/>
    </format>
  </formats>
  <chartFormats count="3">
    <chartFormat chart="2"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316A636-5252-43EF-B662-2B6A39BB589C}"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12:G18" firstHeaderRow="0" firstDataRow="1" firstDataCol="1"/>
  <pivotFields count="15">
    <pivotField showAll="0"/>
    <pivotField showAll="0"/>
    <pivotField showAll="0"/>
    <pivotField showAll="0">
      <items count="7">
        <item x="1"/>
        <item x="2"/>
        <item x="5"/>
        <item x="4"/>
        <item x="0"/>
        <item x="3"/>
        <item t="default"/>
      </items>
    </pivotField>
    <pivotField showAll="0"/>
    <pivotField showAll="0"/>
    <pivotField showAll="0">
      <items count="5">
        <item x="3"/>
        <item x="0"/>
        <item x="1"/>
        <item x="2"/>
        <item t="default"/>
      </items>
    </pivotField>
    <pivotField axis="axisRow" showAll="0" sortType="ascending">
      <items count="6">
        <item x="3"/>
        <item x="1"/>
        <item x="0"/>
        <item x="2"/>
        <item x="4"/>
        <item t="default"/>
      </items>
      <autoSortScope>
        <pivotArea dataOnly="0" outline="0" fieldPosition="0">
          <references count="1">
            <reference field="4294967294" count="1" selected="0">
              <x v="0"/>
            </reference>
          </references>
        </pivotArea>
      </autoSortScope>
    </pivotField>
    <pivotField showAll="0"/>
    <pivotField showAll="0"/>
    <pivotField dataField="1" numFmtId="164" showAll="0"/>
    <pivotField showAll="0">
      <items count="3">
        <item x="1"/>
        <item x="0"/>
        <item t="default"/>
      </items>
    </pivotField>
    <pivotField dataField="1" numFmtId="164" showAll="0"/>
    <pivotField showAll="0"/>
    <pivotField dataField="1" numFmtId="164" showAll="0"/>
  </pivotFields>
  <rowFields count="1">
    <field x="7"/>
  </rowFields>
  <rowItems count="6">
    <i>
      <x v="1"/>
    </i>
    <i>
      <x v="4"/>
    </i>
    <i>
      <x v="3"/>
    </i>
    <i>
      <x/>
    </i>
    <i>
      <x v="2"/>
    </i>
    <i t="grand">
      <x/>
    </i>
  </rowItems>
  <colFields count="1">
    <field x="-2"/>
  </colFields>
  <colItems count="3">
    <i>
      <x/>
    </i>
    <i i="1">
      <x v="1"/>
    </i>
    <i i="2">
      <x v="2"/>
    </i>
  </colItems>
  <dataFields count="3">
    <dataField name="Sum of Surgery_Cost_NGN" fld="10" baseField="0" baseItem="0" numFmtId="165"/>
    <dataField name="Sum of Bill_Amount_NGN" fld="12" baseField="0" baseItem="0" numFmtId="164"/>
    <dataField name="Average of %Revenue Ratio" fld="14" subtotal="average" baseField="7" baseItem="1" numFmtId="164"/>
  </dataFields>
  <formats count="2">
    <format dxfId="4">
      <pivotArea outline="0" collapsedLevelsAreSubtotals="1" fieldPosition="0"/>
    </format>
    <format dxfId="3">
      <pivotArea collapsedLevelsAreSubtotals="1" fieldPosition="0">
        <references count="2">
          <reference field="4294967294" count="1" selected="0">
            <x v="2"/>
          </reference>
          <reference field="7"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D4C70F1-BF3F-40E2-8CFC-8175AD8AEEF8}"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B3" firstHeaderRow="1" firstDataRow="1" firstDataCol="0"/>
  <pivotFields count="15">
    <pivotField showAll="0"/>
    <pivotField showAll="0"/>
    <pivotField showAll="0"/>
    <pivotField showAll="0">
      <items count="7">
        <item x="1"/>
        <item x="2"/>
        <item x="5"/>
        <item x="4"/>
        <item x="0"/>
        <item x="3"/>
        <item t="default"/>
      </items>
    </pivotField>
    <pivotField showAll="0"/>
    <pivotField showAll="0"/>
    <pivotField showAll="0">
      <items count="5">
        <item x="3"/>
        <item x="0"/>
        <item x="1"/>
        <item x="2"/>
        <item t="default"/>
      </items>
    </pivotField>
    <pivotField showAll="0">
      <items count="6">
        <item x="3"/>
        <item x="1"/>
        <item x="0"/>
        <item x="2"/>
        <item x="4"/>
        <item t="default"/>
      </items>
    </pivotField>
    <pivotField showAll="0"/>
    <pivotField showAll="0"/>
    <pivotField dataField="1" numFmtId="164" showAll="0"/>
    <pivotField showAll="0">
      <items count="3">
        <item x="1"/>
        <item x="0"/>
        <item t="default"/>
      </items>
    </pivotField>
    <pivotField numFmtId="164" showAll="0"/>
    <pivotField showAll="0"/>
    <pivotField numFmtId="164" showAll="0"/>
  </pivotFields>
  <rowItems count="1">
    <i/>
  </rowItems>
  <colItems count="1">
    <i/>
  </colItems>
  <dataFields count="1">
    <dataField name="Sum of Surgery_Cost_NGN" fld="10" baseField="0" baseItem="0" numFmtId="166"/>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60B94DF-6654-4AD6-8366-3BEF8D99EA02}"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21:B28" firstHeaderRow="1" firstDataRow="1" firstDataCol="1"/>
  <pivotFields count="15">
    <pivotField showAll="0"/>
    <pivotField showAll="0"/>
    <pivotField showAll="0"/>
    <pivotField showAll="0">
      <items count="7">
        <item x="1"/>
        <item x="2"/>
        <item x="5"/>
        <item x="4"/>
        <item x="0"/>
        <item x="3"/>
        <item t="default"/>
      </items>
    </pivotField>
    <pivotField axis="axisRow" showAll="0" sortType="ascending">
      <items count="7">
        <item x="4"/>
        <item x="3"/>
        <item x="1"/>
        <item x="2"/>
        <item x="5"/>
        <item x="0"/>
        <item t="default"/>
      </items>
      <autoSortScope>
        <pivotArea dataOnly="0" outline="0" fieldPosition="0">
          <references count="1">
            <reference field="4294967294" count="1" selected="0">
              <x v="0"/>
            </reference>
          </references>
        </pivotArea>
      </autoSortScope>
    </pivotField>
    <pivotField showAll="0"/>
    <pivotField showAll="0">
      <items count="5">
        <item x="3"/>
        <item x="0"/>
        <item x="1"/>
        <item x="2"/>
        <item t="default"/>
      </items>
    </pivotField>
    <pivotField showAll="0">
      <items count="6">
        <item x="3"/>
        <item x="1"/>
        <item x="0"/>
        <item x="2"/>
        <item x="4"/>
        <item t="default"/>
      </items>
    </pivotField>
    <pivotField showAll="0"/>
    <pivotField showAll="0"/>
    <pivotField numFmtId="164" showAll="0"/>
    <pivotField showAll="0">
      <items count="3">
        <item x="1"/>
        <item x="0"/>
        <item t="default"/>
      </items>
    </pivotField>
    <pivotField dataField="1" numFmtId="164" showAll="0"/>
    <pivotField showAll="0"/>
    <pivotField numFmtId="164" showAll="0"/>
  </pivotFields>
  <rowFields count="1">
    <field x="4"/>
  </rowFields>
  <rowItems count="7">
    <i>
      <x v="1"/>
    </i>
    <i>
      <x/>
    </i>
    <i>
      <x v="4"/>
    </i>
    <i>
      <x v="3"/>
    </i>
    <i>
      <x v="2"/>
    </i>
    <i>
      <x v="5"/>
    </i>
    <i t="grand">
      <x/>
    </i>
  </rowItems>
  <colItems count="1">
    <i/>
  </colItems>
  <dataFields count="1">
    <dataField name="Sum of Bill_Amount_NGN" fld="12" baseField="0" baseItem="0" numFmtId="165"/>
  </dataFields>
  <formats count="1">
    <format dxfId="6">
      <pivotArea outline="0" collapsedLevelsAreSubtotals="1" fieldPosition="0"/>
    </format>
  </formats>
  <chartFormats count="3">
    <chartFormat chart="2"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ADE5667-281D-4688-A2F5-89D978D06BB5}" name="PivotTable24"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40">
  <location ref="A56:G64" firstHeaderRow="1" firstDataRow="2" firstDataCol="1" rowPageCount="1" colPageCount="1"/>
  <pivotFields count="15">
    <pivotField compact="0" outline="0" showAll="0"/>
    <pivotField compact="0" outline="0" showAll="0"/>
    <pivotField compact="0" outline="0" showAll="0"/>
    <pivotField axis="axisRow" compact="0" outline="0" showAll="0">
      <items count="7">
        <item x="0"/>
        <item x="5"/>
        <item x="1"/>
        <item x="3"/>
        <item x="2"/>
        <item x="4"/>
        <item t="default"/>
      </items>
    </pivotField>
    <pivotField compact="0" outline="0" showAll="0"/>
    <pivotField compact="0" outline="0" showAll="0"/>
    <pivotField compact="0" outline="0" showAll="0">
      <items count="5">
        <item x="3"/>
        <item x="0"/>
        <item x="1"/>
        <item x="2"/>
        <item t="default"/>
      </items>
    </pivotField>
    <pivotField axis="axisCol" compact="0" outline="0" showAll="0" sortType="descending">
      <items count="6">
        <item x="3"/>
        <item x="1"/>
        <item x="0"/>
        <item x="2"/>
        <item x="4"/>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numFmtId="164" outline="0" showAll="0"/>
    <pivotField axis="axisPage" compact="0" outline="0" multipleItemSelectionAllowed="1" showAll="0">
      <items count="3">
        <item x="1"/>
        <item x="0"/>
        <item t="default"/>
      </items>
    </pivotField>
    <pivotField dataField="1" compact="0" numFmtId="164" outline="0" showAll="0"/>
    <pivotField compact="0" outline="0" showAll="0"/>
    <pivotField compact="0" numFmtId="164" outline="0" showAll="0"/>
  </pivotFields>
  <rowFields count="1">
    <field x="3"/>
  </rowFields>
  <rowItems count="7">
    <i>
      <x/>
    </i>
    <i>
      <x v="1"/>
    </i>
    <i>
      <x v="2"/>
    </i>
    <i>
      <x v="3"/>
    </i>
    <i>
      <x v="4"/>
    </i>
    <i>
      <x v="5"/>
    </i>
    <i t="grand">
      <x/>
    </i>
  </rowItems>
  <colFields count="1">
    <field x="7"/>
  </colFields>
  <colItems count="6">
    <i>
      <x/>
    </i>
    <i>
      <x v="2"/>
    </i>
    <i>
      <x v="3"/>
    </i>
    <i>
      <x v="4"/>
    </i>
    <i>
      <x v="1"/>
    </i>
    <i t="grand">
      <x/>
    </i>
  </colItems>
  <pageFields count="1">
    <pageField fld="11" hier="-1"/>
  </pageFields>
  <dataFields count="1">
    <dataField name="Sum of Bill_Amount_NGN" fld="12" baseField="0" baseItem="0" numFmtId="165"/>
  </dataFields>
  <formats count="1">
    <format dxfId="7">
      <pivotArea outline="0" collapsedLevelsAreSubtotals="1" fieldPosition="0"/>
    </format>
  </formats>
  <conditionalFormats count="6">
    <conditionalFormat priority="1">
      <pivotAreas count="1">
        <pivotArea type="data" grandCol="1" collapsedLevelsAreSubtotals="1" fieldPosition="0">
          <references count="2">
            <reference field="4294967294" count="1" selected="0">
              <x v="0"/>
            </reference>
            <reference field="3" count="6">
              <x v="0"/>
              <x v="1"/>
              <x v="2"/>
              <x v="3"/>
              <x v="4"/>
              <x v="5"/>
            </reference>
          </references>
        </pivotArea>
      </pivotAreas>
    </conditionalFormat>
    <conditionalFormat priority="2">
      <pivotAreas count="1">
        <pivotArea type="data" collapsedLevelsAreSubtotals="1" fieldPosition="0">
          <references count="3">
            <reference field="4294967294" count="1" selected="0">
              <x v="0"/>
            </reference>
            <reference field="3" count="6">
              <x v="0"/>
              <x v="1"/>
              <x v="2"/>
              <x v="3"/>
              <x v="4"/>
              <x v="5"/>
            </reference>
            <reference field="7" count="1" selected="0">
              <x v="1"/>
            </reference>
          </references>
        </pivotArea>
      </pivotAreas>
    </conditionalFormat>
    <conditionalFormat priority="3">
      <pivotAreas count="1">
        <pivotArea type="data" collapsedLevelsAreSubtotals="1" fieldPosition="0">
          <references count="3">
            <reference field="4294967294" count="1" selected="0">
              <x v="0"/>
            </reference>
            <reference field="3" count="6">
              <x v="0"/>
              <x v="1"/>
              <x v="2"/>
              <x v="3"/>
              <x v="4"/>
              <x v="5"/>
            </reference>
            <reference field="7" count="1" selected="0">
              <x v="4"/>
            </reference>
          </references>
        </pivotArea>
      </pivotAreas>
    </conditionalFormat>
    <conditionalFormat priority="4">
      <pivotAreas count="1">
        <pivotArea type="data" collapsedLevelsAreSubtotals="1" fieldPosition="0">
          <references count="3">
            <reference field="4294967294" count="1" selected="0">
              <x v="0"/>
            </reference>
            <reference field="3" count="6">
              <x v="0"/>
              <x v="1"/>
              <x v="2"/>
              <x v="3"/>
              <x v="4"/>
              <x v="5"/>
            </reference>
            <reference field="7" count="1" selected="0">
              <x v="3"/>
            </reference>
          </references>
        </pivotArea>
      </pivotAreas>
    </conditionalFormat>
    <conditionalFormat priority="5">
      <pivotAreas count="1">
        <pivotArea type="data" collapsedLevelsAreSubtotals="1" fieldPosition="0">
          <references count="3">
            <reference field="4294967294" count="1" selected="0">
              <x v="0"/>
            </reference>
            <reference field="3" count="6">
              <x v="0"/>
              <x v="1"/>
              <x v="2"/>
              <x v="3"/>
              <x v="4"/>
              <x v="5"/>
            </reference>
            <reference field="7" count="1" selected="0">
              <x v="2"/>
            </reference>
          </references>
        </pivotArea>
      </pivotAreas>
    </conditionalFormat>
    <conditionalFormat priority="6">
      <pivotAreas count="1">
        <pivotArea type="data" collapsedLevelsAreSubtotals="1" fieldPosition="0">
          <references count="3">
            <reference field="4294967294" count="1" selected="0">
              <x v="0"/>
            </reference>
            <reference field="3" count="6">
              <x v="0"/>
              <x v="1"/>
              <x v="2"/>
              <x v="3"/>
              <x v="4"/>
              <x v="5"/>
            </reference>
            <reference field="7" count="1" selected="0">
              <x v="0"/>
            </reference>
          </references>
        </pivotArea>
      </pivotAreas>
    </conditionalFormat>
  </conditionalFormats>
  <chartFormats count="22">
    <chartFormat chart="8" format="36" series="1">
      <pivotArea type="data" outline="0" fieldPosition="0">
        <references count="1">
          <reference field="4294967294" count="1" selected="0">
            <x v="0"/>
          </reference>
        </references>
      </pivotArea>
    </chartFormat>
    <chartFormat chart="8" format="69" series="1">
      <pivotArea type="data" outline="0" fieldPosition="0">
        <references count="2">
          <reference field="4294967294" count="1" selected="0">
            <x v="0"/>
          </reference>
          <reference field="7" count="1" selected="0">
            <x v="1"/>
          </reference>
        </references>
      </pivotArea>
    </chartFormat>
    <chartFormat chart="8" format="70" series="1">
      <pivotArea type="data" outline="0" fieldPosition="0">
        <references count="2">
          <reference field="4294967294" count="1" selected="0">
            <x v="0"/>
          </reference>
          <reference field="7" count="1" selected="0">
            <x v="2"/>
          </reference>
        </references>
      </pivotArea>
    </chartFormat>
    <chartFormat chart="8" format="71" series="1">
      <pivotArea type="data" outline="0" fieldPosition="0">
        <references count="2">
          <reference field="4294967294" count="1" selected="0">
            <x v="0"/>
          </reference>
          <reference field="7" count="1" selected="0">
            <x v="3"/>
          </reference>
        </references>
      </pivotArea>
    </chartFormat>
    <chartFormat chart="8" format="72" series="1">
      <pivotArea type="data" outline="0" fieldPosition="0">
        <references count="2">
          <reference field="4294967294" count="1" selected="0">
            <x v="0"/>
          </reference>
          <reference field="7" count="1" selected="0">
            <x v="4"/>
          </reference>
        </references>
      </pivotArea>
    </chartFormat>
    <chartFormat chart="25" format="107" series="1">
      <pivotArea type="data" outline="0" fieldPosition="0">
        <references count="2">
          <reference field="4294967294" count="1" selected="0">
            <x v="0"/>
          </reference>
          <reference field="7" count="1" selected="0">
            <x v="0"/>
          </reference>
        </references>
      </pivotArea>
    </chartFormat>
    <chartFormat chart="25" format="108" series="1">
      <pivotArea type="data" outline="0" fieldPosition="0">
        <references count="2">
          <reference field="4294967294" count="1" selected="0">
            <x v="0"/>
          </reference>
          <reference field="7" count="1" selected="0">
            <x v="1"/>
          </reference>
        </references>
      </pivotArea>
    </chartFormat>
    <chartFormat chart="25" format="109" series="1">
      <pivotArea type="data" outline="0" fieldPosition="0">
        <references count="2">
          <reference field="4294967294" count="1" selected="0">
            <x v="0"/>
          </reference>
          <reference field="7" count="1" selected="0">
            <x v="2"/>
          </reference>
        </references>
      </pivotArea>
    </chartFormat>
    <chartFormat chart="25" format="110" series="1">
      <pivotArea type="data" outline="0" fieldPosition="0">
        <references count="2">
          <reference field="4294967294" count="1" selected="0">
            <x v="0"/>
          </reference>
          <reference field="7" count="1" selected="0">
            <x v="3"/>
          </reference>
        </references>
      </pivotArea>
    </chartFormat>
    <chartFormat chart="25" format="111" series="1">
      <pivotArea type="data" outline="0" fieldPosition="0">
        <references count="2">
          <reference field="4294967294" count="1" selected="0">
            <x v="0"/>
          </reference>
          <reference field="7" count="1" selected="0">
            <x v="4"/>
          </reference>
        </references>
      </pivotArea>
    </chartFormat>
    <chartFormat chart="25" format="112" series="1">
      <pivotArea type="data" outline="0" fieldPosition="0">
        <references count="1">
          <reference field="4294967294" count="1" selected="0">
            <x v="0"/>
          </reference>
        </references>
      </pivotArea>
    </chartFormat>
    <chartFormat chart="25" format="127" series="1">
      <pivotArea type="data" outline="0" fieldPosition="0">
        <references count="2">
          <reference field="4294967294" count="1" selected="0">
            <x v="0"/>
          </reference>
          <reference field="3" count="1" selected="0">
            <x v="5"/>
          </reference>
        </references>
      </pivotArea>
    </chartFormat>
    <chartFormat chart="8" format="86" series="1">
      <pivotArea type="data" outline="0" fieldPosition="0">
        <references count="2">
          <reference field="4294967294" count="1" selected="0">
            <x v="0"/>
          </reference>
          <reference field="3" count="1" selected="0">
            <x v="5"/>
          </reference>
        </references>
      </pivotArea>
    </chartFormat>
    <chartFormat chart="25" format="128" series="1">
      <pivotArea type="data" outline="0" fieldPosition="0">
        <references count="2">
          <reference field="4294967294" count="1" selected="0">
            <x v="0"/>
          </reference>
          <reference field="3" count="1" selected="0">
            <x v="4"/>
          </reference>
        </references>
      </pivotArea>
    </chartFormat>
    <chartFormat chart="25" format="129" series="1">
      <pivotArea type="data" outline="0" fieldPosition="0">
        <references count="2">
          <reference field="4294967294" count="1" selected="0">
            <x v="0"/>
          </reference>
          <reference field="3" count="1" selected="0">
            <x v="3"/>
          </reference>
        </references>
      </pivotArea>
    </chartFormat>
    <chartFormat chart="25" format="130" series="1">
      <pivotArea type="data" outline="0" fieldPosition="0">
        <references count="2">
          <reference field="4294967294" count="1" selected="0">
            <x v="0"/>
          </reference>
          <reference field="3" count="1" selected="0">
            <x v="2"/>
          </reference>
        </references>
      </pivotArea>
    </chartFormat>
    <chartFormat chart="25" format="131" series="1">
      <pivotArea type="data" outline="0" fieldPosition="0">
        <references count="2">
          <reference field="4294967294" count="1" selected="0">
            <x v="0"/>
          </reference>
          <reference field="3" count="1" selected="0">
            <x v="1"/>
          </reference>
        </references>
      </pivotArea>
    </chartFormat>
    <chartFormat chart="25" format="132" series="1">
      <pivotArea type="data" outline="0" fieldPosition="0">
        <references count="2">
          <reference field="4294967294" count="1" selected="0">
            <x v="0"/>
          </reference>
          <reference field="3" count="1" selected="0">
            <x v="0"/>
          </reference>
        </references>
      </pivotArea>
    </chartFormat>
    <chartFormat chart="8" format="87" series="1">
      <pivotArea type="data" outline="0" fieldPosition="0">
        <references count="2">
          <reference field="4294967294" count="1" selected="0">
            <x v="0"/>
          </reference>
          <reference field="3" count="1" selected="0">
            <x v="1"/>
          </reference>
        </references>
      </pivotArea>
    </chartFormat>
    <chartFormat chart="8" format="88" series="1">
      <pivotArea type="data" outline="0" fieldPosition="0">
        <references count="2">
          <reference field="4294967294" count="1" selected="0">
            <x v="0"/>
          </reference>
          <reference field="3" count="1" selected="0">
            <x v="2"/>
          </reference>
        </references>
      </pivotArea>
    </chartFormat>
    <chartFormat chart="8" format="89" series="1">
      <pivotArea type="data" outline="0" fieldPosition="0">
        <references count="2">
          <reference field="4294967294" count="1" selected="0">
            <x v="0"/>
          </reference>
          <reference field="3" count="1" selected="0">
            <x v="3"/>
          </reference>
        </references>
      </pivotArea>
    </chartFormat>
    <chartFormat chart="8" format="90" series="1">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12AAD06-9242-4226-A8F8-F8BF44FE58F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90:B93" firstHeaderRow="1" firstDataRow="1" firstDataCol="1"/>
  <pivotFields count="15">
    <pivotField showAll="0"/>
    <pivotField showAll="0"/>
    <pivotField showAll="0"/>
    <pivotField showAll="0">
      <items count="7">
        <item x="1"/>
        <item x="2"/>
        <item x="5"/>
        <item x="4"/>
        <item x="0"/>
        <item x="3"/>
        <item t="default"/>
      </items>
    </pivotField>
    <pivotField showAll="0"/>
    <pivotField showAll="0"/>
    <pivotField showAll="0">
      <items count="5">
        <item x="3"/>
        <item x="0"/>
        <item x="1"/>
        <item x="2"/>
        <item t="default"/>
      </items>
    </pivotField>
    <pivotField showAll="0">
      <items count="6">
        <item x="3"/>
        <item x="1"/>
        <item x="0"/>
        <item x="2"/>
        <item x="4"/>
        <item t="default"/>
      </items>
    </pivotField>
    <pivotField dataField="1" showAll="0"/>
    <pivotField showAll="0"/>
    <pivotField numFmtId="164" showAll="0"/>
    <pivotField axis="axisRow" showAll="0">
      <items count="3">
        <item x="1"/>
        <item x="0"/>
        <item t="default"/>
      </items>
    </pivotField>
    <pivotField numFmtId="164" showAll="0"/>
    <pivotField showAll="0"/>
    <pivotField numFmtId="164" showAll="0"/>
  </pivotFields>
  <rowFields count="1">
    <field x="11"/>
  </rowFields>
  <rowItems count="3">
    <i>
      <x/>
    </i>
    <i>
      <x v="1"/>
    </i>
    <i t="grand">
      <x/>
    </i>
  </rowItems>
  <colItems count="1">
    <i/>
  </colItems>
  <dataFields count="1">
    <dataField name="Sum of Lab_Tests_Conducted" fld="8" baseField="0" baseItem="0"/>
  </dataFields>
  <chartFormats count="1">
    <chartFormat chart="15"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FCABFDE-5CC4-4E28-8FF0-081F01C78F95}"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A3" firstHeaderRow="1" firstDataRow="1" firstDataCol="0"/>
  <pivotFields count="15">
    <pivotField dataField="1" showAll="0"/>
    <pivotField showAll="0"/>
    <pivotField showAll="0"/>
    <pivotField showAll="0">
      <items count="7">
        <item x="1"/>
        <item x="2"/>
        <item x="5"/>
        <item x="4"/>
        <item x="0"/>
        <item x="3"/>
        <item t="default"/>
      </items>
    </pivotField>
    <pivotField showAll="0"/>
    <pivotField showAll="0"/>
    <pivotField showAll="0">
      <items count="5">
        <item x="3"/>
        <item x="0"/>
        <item x="1"/>
        <item x="2"/>
        <item t="default"/>
      </items>
    </pivotField>
    <pivotField showAll="0">
      <items count="6">
        <item x="3"/>
        <item x="1"/>
        <item x="0"/>
        <item x="2"/>
        <item x="4"/>
        <item t="default"/>
      </items>
    </pivotField>
    <pivotField showAll="0"/>
    <pivotField showAll="0"/>
    <pivotField numFmtId="164" showAll="0"/>
    <pivotField showAll="0">
      <items count="3">
        <item x="1"/>
        <item x="0"/>
        <item t="default"/>
      </items>
    </pivotField>
    <pivotField numFmtId="164" showAll="0"/>
    <pivotField showAll="0"/>
    <pivotField numFmtId="164" showAll="0"/>
  </pivotFields>
  <rowItems count="1">
    <i/>
  </rowItems>
  <colItems count="1">
    <i/>
  </colItems>
  <dataFields count="1">
    <dataField name="Count of Patien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E7BBEB6-3E68-4280-9416-956EE25FD854}"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70:B75" firstHeaderRow="1" firstDataRow="1" firstDataCol="1"/>
  <pivotFields count="15">
    <pivotField showAll="0"/>
    <pivotField showAll="0"/>
    <pivotField showAll="0"/>
    <pivotField showAll="0">
      <items count="7">
        <item x="1"/>
        <item x="2"/>
        <item x="5"/>
        <item x="4"/>
        <item x="0"/>
        <item x="3"/>
        <item t="default"/>
      </items>
    </pivotField>
    <pivotField showAll="0"/>
    <pivotField showAll="0"/>
    <pivotField axis="axisRow" showAll="0">
      <items count="5">
        <item x="3"/>
        <item x="2"/>
        <item x="1"/>
        <item x="0"/>
        <item t="default"/>
      </items>
    </pivotField>
    <pivotField showAll="0">
      <items count="6">
        <item x="3"/>
        <item x="1"/>
        <item x="0"/>
        <item x="2"/>
        <item x="4"/>
        <item t="default"/>
      </items>
    </pivotField>
    <pivotField showAll="0"/>
    <pivotField showAll="0"/>
    <pivotField numFmtId="164" showAll="0"/>
    <pivotField showAll="0">
      <items count="3">
        <item x="1"/>
        <item x="0"/>
        <item t="default"/>
      </items>
    </pivotField>
    <pivotField dataField="1" numFmtId="164" showAll="0"/>
    <pivotField showAll="0"/>
    <pivotField numFmtId="164" showAll="0"/>
  </pivotFields>
  <rowFields count="1">
    <field x="6"/>
  </rowFields>
  <rowItems count="5">
    <i>
      <x/>
    </i>
    <i>
      <x v="1"/>
    </i>
    <i>
      <x v="2"/>
    </i>
    <i>
      <x v="3"/>
    </i>
    <i t="grand">
      <x/>
    </i>
  </rowItems>
  <colItems count="1">
    <i/>
  </colItems>
  <dataFields count="1">
    <dataField name="Sum of Bill_Amount_NGN" fld="12" baseField="0" baseItem="0" numFmtId="164"/>
  </dataFields>
  <formats count="1">
    <format dxfId="8">
      <pivotArea collapsedLevelsAreSubtotals="1" fieldPosition="0">
        <references count="1">
          <reference field="6" count="0"/>
        </references>
      </pivotArea>
    </format>
  </formats>
  <conditionalFormats count="1">
    <conditionalFormat priority="32">
      <pivotAreas count="1">
        <pivotArea type="data" collapsedLevelsAreSubtotals="1" fieldPosition="0">
          <references count="2">
            <reference field="4294967294" count="1" selected="0">
              <x v="0"/>
            </reference>
            <reference field="6" count="4">
              <x v="0"/>
              <x v="1"/>
              <x v="2"/>
              <x v="3"/>
            </reference>
          </references>
        </pivotArea>
      </pivotAreas>
    </conditionalFormat>
  </conditionalFormats>
  <chartFormats count="3">
    <chartFormat chart="15" format="4" series="1">
      <pivotArea type="data" outline="0" fieldPosition="0">
        <references count="1">
          <reference field="4294967294" count="1" selected="0">
            <x v="0"/>
          </reference>
        </references>
      </pivotArea>
    </chartFormat>
    <chartFormat chart="17" format="6" series="1">
      <pivotArea type="data" outline="0" fieldPosition="0">
        <references count="1">
          <reference field="4294967294" count="1" selected="0">
            <x v="0"/>
          </reference>
        </references>
      </pivotArea>
    </chartFormat>
    <chartFormat chart="19"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82B70FA-3715-47B9-B203-7169661D4307}"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42:F50" firstHeaderRow="1" firstDataRow="2" firstDataCol="1"/>
  <pivotFields count="15">
    <pivotField dataField="1" showAll="0"/>
    <pivotField showAll="0"/>
    <pivotField showAll="0"/>
    <pivotField axis="axisRow" showAll="0">
      <items count="7">
        <item x="0"/>
        <item x="5"/>
        <item x="1"/>
        <item x="3"/>
        <item x="2"/>
        <item x="4"/>
        <item t="default"/>
      </items>
    </pivotField>
    <pivotField showAll="0"/>
    <pivotField showAll="0"/>
    <pivotField axis="axisCol" showAll="0">
      <items count="5">
        <item x="3"/>
        <item x="0"/>
        <item x="1"/>
        <item x="2"/>
        <item t="default"/>
      </items>
    </pivotField>
    <pivotField showAll="0">
      <items count="6">
        <item x="3"/>
        <item x="1"/>
        <item x="0"/>
        <item x="2"/>
        <item x="4"/>
        <item t="default"/>
      </items>
    </pivotField>
    <pivotField showAll="0"/>
    <pivotField showAll="0"/>
    <pivotField numFmtId="164" showAll="0"/>
    <pivotField showAll="0">
      <items count="3">
        <item x="1"/>
        <item x="0"/>
        <item t="default"/>
      </items>
    </pivotField>
    <pivotField numFmtId="164" showAll="0"/>
    <pivotField showAll="0"/>
    <pivotField numFmtId="164" showAll="0"/>
  </pivotFields>
  <rowFields count="1">
    <field x="3"/>
  </rowFields>
  <rowItems count="7">
    <i>
      <x/>
    </i>
    <i>
      <x v="1"/>
    </i>
    <i>
      <x v="2"/>
    </i>
    <i>
      <x v="3"/>
    </i>
    <i>
      <x v="4"/>
    </i>
    <i>
      <x v="5"/>
    </i>
    <i t="grand">
      <x/>
    </i>
  </rowItems>
  <colFields count="1">
    <field x="6"/>
  </colFields>
  <colItems count="5">
    <i>
      <x/>
    </i>
    <i>
      <x v="1"/>
    </i>
    <i>
      <x v="2"/>
    </i>
    <i>
      <x v="3"/>
    </i>
    <i t="grand">
      <x/>
    </i>
  </colItems>
  <dataFields count="1">
    <dataField name="Count of Patient_ID" fld="0" subtotal="count" baseField="0" baseItem="0"/>
  </dataFields>
  <conditionalFormats count="4">
    <conditionalFormat priority="60">
      <pivotAreas count="1">
        <pivotArea type="data" collapsedLevelsAreSubtotals="1" fieldPosition="0">
          <references count="3">
            <reference field="4294967294" count="1" selected="0">
              <x v="0"/>
            </reference>
            <reference field="3" count="6">
              <x v="0"/>
              <x v="1"/>
              <x v="2"/>
              <x v="3"/>
              <x v="4"/>
              <x v="5"/>
            </reference>
            <reference field="6" count="1" selected="0">
              <x v="3"/>
            </reference>
          </references>
        </pivotArea>
      </pivotAreas>
    </conditionalFormat>
    <conditionalFormat priority="61">
      <pivotAreas count="1">
        <pivotArea type="data" collapsedLevelsAreSubtotals="1" fieldPosition="0">
          <references count="3">
            <reference field="4294967294" count="1" selected="0">
              <x v="0"/>
            </reference>
            <reference field="3" count="6">
              <x v="0"/>
              <x v="1"/>
              <x v="2"/>
              <x v="3"/>
              <x v="4"/>
              <x v="5"/>
            </reference>
            <reference field="6" count="1" selected="0">
              <x v="2"/>
            </reference>
          </references>
        </pivotArea>
      </pivotAreas>
    </conditionalFormat>
    <conditionalFormat priority="62">
      <pivotAreas count="1">
        <pivotArea type="data" collapsedLevelsAreSubtotals="1" fieldPosition="0">
          <references count="3">
            <reference field="4294967294" count="1" selected="0">
              <x v="0"/>
            </reference>
            <reference field="3" count="6">
              <x v="0"/>
              <x v="1"/>
              <x v="2"/>
              <x v="3"/>
              <x v="4"/>
              <x v="5"/>
            </reference>
            <reference field="6" count="1" selected="0">
              <x v="1"/>
            </reference>
          </references>
        </pivotArea>
      </pivotAreas>
    </conditionalFormat>
    <conditionalFormat priority="63">
      <pivotAreas count="1">
        <pivotArea type="data" collapsedLevelsAreSubtotals="1" fieldPosition="0">
          <references count="3">
            <reference field="4294967294" count="1" selected="0">
              <x v="0"/>
            </reference>
            <reference field="3" count="6">
              <x v="0"/>
              <x v="1"/>
              <x v="2"/>
              <x v="3"/>
              <x v="4"/>
              <x v="5"/>
            </reference>
            <reference field="6"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42B0379-1322-4F3D-AE72-21BAF287A982}" name="PivotTable2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1:I39" firstHeaderRow="1" firstDataRow="2" firstDataCol="1"/>
  <pivotFields count="15">
    <pivotField showAll="0"/>
    <pivotField axis="axisCol" showAll="0">
      <items count="3">
        <item x="1"/>
        <item x="0"/>
        <item t="default"/>
      </items>
    </pivotField>
    <pivotField showAll="0"/>
    <pivotField axis="axisRow" showAll="0">
      <items count="7">
        <item x="0"/>
        <item x="5"/>
        <item x="1"/>
        <item x="3"/>
        <item x="2"/>
        <item x="4"/>
        <item t="default"/>
      </items>
    </pivotField>
    <pivotField showAll="0"/>
    <pivotField showAll="0"/>
    <pivotField showAll="0">
      <items count="5">
        <item x="3"/>
        <item x="0"/>
        <item x="1"/>
        <item x="2"/>
        <item t="default"/>
      </items>
    </pivotField>
    <pivotField showAll="0">
      <items count="6">
        <item x="3"/>
        <item x="1"/>
        <item x="0"/>
        <item x="2"/>
        <item x="4"/>
        <item t="default"/>
      </items>
    </pivotField>
    <pivotField showAll="0"/>
    <pivotField showAll="0"/>
    <pivotField numFmtId="164" showAll="0"/>
    <pivotField showAll="0">
      <items count="3">
        <item x="1"/>
        <item x="0"/>
        <item t="default"/>
      </items>
    </pivotField>
    <pivotField dataField="1" numFmtId="164" showAll="0"/>
    <pivotField showAll="0"/>
    <pivotField numFmtId="164" showAll="0"/>
  </pivotFields>
  <rowFields count="1">
    <field x="3"/>
  </rowFields>
  <rowItems count="7">
    <i>
      <x/>
    </i>
    <i>
      <x v="1"/>
    </i>
    <i>
      <x v="2"/>
    </i>
    <i>
      <x v="3"/>
    </i>
    <i>
      <x v="4"/>
    </i>
    <i>
      <x v="5"/>
    </i>
    <i t="grand">
      <x/>
    </i>
  </rowItems>
  <colFields count="1">
    <field x="1"/>
  </colFields>
  <colItems count="3">
    <i>
      <x/>
    </i>
    <i>
      <x v="1"/>
    </i>
    <i t="grand">
      <x/>
    </i>
  </colItems>
  <dataFields count="1">
    <dataField name="Sum of Bill_Amount_NGN" fld="12" baseField="0" baseItem="0" numFmtId="164"/>
  </dataFields>
  <formats count="2">
    <format dxfId="10">
      <pivotArea collapsedLevelsAreSubtotals="1" fieldPosition="0">
        <references count="2">
          <reference field="1" count="1" selected="0">
            <x v="0"/>
          </reference>
          <reference field="3" count="0"/>
        </references>
      </pivotArea>
    </format>
    <format dxfId="9">
      <pivotArea collapsedLevelsAreSubtotals="1" fieldPosition="0">
        <references count="2">
          <reference field="1" count="1" selected="0">
            <x v="1"/>
          </reference>
          <reference field="3" count="0"/>
        </references>
      </pivotArea>
    </format>
  </formats>
  <conditionalFormats count="2">
    <conditionalFormat priority="30">
      <pivotAreas count="1">
        <pivotArea type="data" collapsedLevelsAreSubtotals="1" fieldPosition="0">
          <references count="3">
            <reference field="4294967294" count="1" selected="0">
              <x v="0"/>
            </reference>
            <reference field="1" count="1" selected="0">
              <x v="1"/>
            </reference>
            <reference field="3" count="6">
              <x v="0"/>
              <x v="1"/>
              <x v="2"/>
              <x v="3"/>
              <x v="4"/>
              <x v="5"/>
            </reference>
          </references>
        </pivotArea>
      </pivotAreas>
    </conditionalFormat>
    <conditionalFormat priority="31">
      <pivotAreas count="1">
        <pivotArea type="data" collapsedLevelsAreSubtotals="1" fieldPosition="0">
          <references count="3">
            <reference field="4294967294" count="1" selected="0">
              <x v="0"/>
            </reference>
            <reference field="1" count="1" selected="0">
              <x v="0"/>
            </reference>
            <reference field="3" count="6">
              <x v="0"/>
              <x v="1"/>
              <x v="2"/>
              <x v="3"/>
              <x v="4"/>
              <x v="5"/>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DC8D7B8-FA89-4EBB-B355-4106C4BDBB87}"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D3" firstHeaderRow="1" firstDataRow="1" firstDataCol="0"/>
  <pivotFields count="15">
    <pivotField showAll="0"/>
    <pivotField showAll="0"/>
    <pivotField showAll="0"/>
    <pivotField showAll="0">
      <items count="7">
        <item x="1"/>
        <item x="2"/>
        <item x="5"/>
        <item x="4"/>
        <item x="0"/>
        <item x="3"/>
        <item t="default"/>
      </items>
    </pivotField>
    <pivotField showAll="0"/>
    <pivotField showAll="0"/>
    <pivotField showAll="0">
      <items count="5">
        <item x="3"/>
        <item x="0"/>
        <item x="1"/>
        <item x="2"/>
        <item t="default"/>
      </items>
    </pivotField>
    <pivotField showAll="0">
      <items count="6">
        <item x="3"/>
        <item x="1"/>
        <item x="0"/>
        <item x="2"/>
        <item x="4"/>
        <item t="default"/>
      </items>
    </pivotField>
    <pivotField showAll="0"/>
    <pivotField showAll="0"/>
    <pivotField numFmtId="164" showAll="0"/>
    <pivotField showAll="0">
      <items count="3">
        <item x="1"/>
        <item x="0"/>
        <item t="default"/>
      </items>
    </pivotField>
    <pivotField dataField="1" numFmtId="164" showAll="0"/>
    <pivotField showAll="0"/>
    <pivotField numFmtId="164" showAll="0"/>
  </pivotFields>
  <rowItems count="1">
    <i/>
  </rowItems>
  <colItems count="1">
    <i/>
  </colItems>
  <dataFields count="1">
    <dataField name="Sum of Bill_Amount_NGN" fld="12" baseField="0" baseItem="0" numFmtId="166"/>
  </dataFields>
  <formats count="1">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5E63C8D-843F-4D26-9BF5-A81ECC066FFF}"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28">
  <location ref="A97:B99" firstHeaderRow="1" firstDataRow="1" firstDataCol="1"/>
  <pivotFields count="15">
    <pivotField compact="0" outline="0" showAll="0">
      <items count="601">
        <item m="1" x="300"/>
        <item m="1" x="301"/>
        <item m="1" x="302"/>
        <item m="1" x="303"/>
        <item m="1" x="304"/>
        <item m="1" x="305"/>
        <item m="1" x="306"/>
        <item m="1" x="307"/>
        <item m="1" x="308"/>
        <item m="1" x="309"/>
        <item m="1" x="310"/>
        <item m="1" x="311"/>
        <item m="1" x="312"/>
        <item m="1" x="313"/>
        <item m="1" x="314"/>
        <item m="1" x="315"/>
        <item m="1" x="316"/>
        <item m="1" x="317"/>
        <item m="1" x="318"/>
        <item m="1" x="319"/>
        <item m="1" x="320"/>
        <item m="1" x="321"/>
        <item m="1" x="322"/>
        <item m="1" x="323"/>
        <item m="1" x="324"/>
        <item m="1" x="325"/>
        <item m="1" x="326"/>
        <item m="1" x="327"/>
        <item m="1" x="328"/>
        <item m="1" x="329"/>
        <item m="1" x="330"/>
        <item m="1" x="331"/>
        <item m="1" x="332"/>
        <item m="1" x="333"/>
        <item m="1" x="334"/>
        <item m="1" x="335"/>
        <item m="1" x="336"/>
        <item m="1" x="337"/>
        <item m="1" x="338"/>
        <item m="1" x="339"/>
        <item m="1" x="340"/>
        <item m="1" x="341"/>
        <item m="1" x="342"/>
        <item m="1" x="343"/>
        <item m="1" x="344"/>
        <item m="1" x="345"/>
        <item m="1" x="346"/>
        <item m="1" x="347"/>
        <item m="1" x="348"/>
        <item m="1" x="349"/>
        <item m="1" x="350"/>
        <item m="1" x="351"/>
        <item m="1" x="352"/>
        <item m="1" x="353"/>
        <item m="1" x="354"/>
        <item m="1" x="355"/>
        <item m="1" x="356"/>
        <item m="1" x="357"/>
        <item m="1" x="358"/>
        <item m="1" x="359"/>
        <item m="1" x="360"/>
        <item m="1" x="361"/>
        <item m="1" x="362"/>
        <item m="1" x="363"/>
        <item m="1" x="364"/>
        <item m="1" x="365"/>
        <item m="1" x="366"/>
        <item m="1" x="367"/>
        <item m="1" x="368"/>
        <item m="1" x="369"/>
        <item m="1" x="370"/>
        <item m="1" x="371"/>
        <item m="1" x="372"/>
        <item m="1" x="373"/>
        <item m="1" x="374"/>
        <item m="1" x="375"/>
        <item m="1" x="376"/>
        <item m="1" x="377"/>
        <item m="1" x="378"/>
        <item m="1" x="379"/>
        <item m="1" x="380"/>
        <item m="1" x="381"/>
        <item m="1" x="382"/>
        <item m="1" x="383"/>
        <item m="1" x="384"/>
        <item m="1" x="385"/>
        <item m="1" x="386"/>
        <item m="1" x="387"/>
        <item m="1" x="388"/>
        <item m="1" x="389"/>
        <item m="1" x="390"/>
        <item m="1" x="391"/>
        <item m="1" x="392"/>
        <item m="1" x="393"/>
        <item m="1" x="394"/>
        <item m="1" x="395"/>
        <item m="1" x="396"/>
        <item m="1" x="397"/>
        <item m="1" x="398"/>
        <item m="1" x="399"/>
        <item m="1" x="400"/>
        <item m="1" x="401"/>
        <item m="1" x="402"/>
        <item m="1" x="403"/>
        <item m="1" x="404"/>
        <item m="1" x="405"/>
        <item m="1" x="406"/>
        <item m="1" x="407"/>
        <item m="1" x="408"/>
        <item m="1" x="409"/>
        <item m="1" x="410"/>
        <item m="1" x="411"/>
        <item m="1" x="412"/>
        <item m="1" x="413"/>
        <item m="1" x="414"/>
        <item m="1" x="415"/>
        <item m="1" x="416"/>
        <item m="1" x="417"/>
        <item m="1" x="418"/>
        <item m="1" x="419"/>
        <item m="1" x="420"/>
        <item m="1" x="421"/>
        <item m="1" x="422"/>
        <item m="1" x="423"/>
        <item m="1" x="424"/>
        <item m="1" x="425"/>
        <item m="1" x="426"/>
        <item m="1" x="427"/>
        <item m="1" x="428"/>
        <item m="1" x="429"/>
        <item m="1" x="430"/>
        <item m="1" x="431"/>
        <item m="1" x="432"/>
        <item m="1" x="433"/>
        <item m="1" x="434"/>
        <item m="1" x="435"/>
        <item m="1" x="436"/>
        <item m="1" x="437"/>
        <item m="1" x="438"/>
        <item m="1" x="439"/>
        <item m="1" x="440"/>
        <item m="1" x="441"/>
        <item m="1" x="442"/>
        <item m="1" x="443"/>
        <item m="1" x="444"/>
        <item m="1" x="445"/>
        <item m="1" x="446"/>
        <item m="1" x="447"/>
        <item m="1" x="448"/>
        <item m="1" x="449"/>
        <item m="1" x="450"/>
        <item m="1" x="451"/>
        <item m="1" x="452"/>
        <item m="1" x="453"/>
        <item m="1" x="454"/>
        <item m="1" x="455"/>
        <item m="1" x="456"/>
        <item m="1" x="457"/>
        <item m="1" x="458"/>
        <item m="1" x="459"/>
        <item m="1" x="460"/>
        <item m="1" x="461"/>
        <item m="1" x="462"/>
        <item m="1" x="463"/>
        <item m="1" x="464"/>
        <item m="1" x="465"/>
        <item m="1" x="466"/>
        <item m="1" x="467"/>
        <item m="1" x="468"/>
        <item m="1" x="469"/>
        <item m="1" x="470"/>
        <item m="1" x="471"/>
        <item m="1" x="472"/>
        <item m="1" x="473"/>
        <item m="1" x="474"/>
        <item m="1" x="475"/>
        <item m="1" x="476"/>
        <item m="1" x="477"/>
        <item m="1" x="478"/>
        <item m="1" x="479"/>
        <item m="1" x="480"/>
        <item m="1" x="481"/>
        <item m="1" x="482"/>
        <item m="1" x="483"/>
        <item m="1" x="484"/>
        <item m="1" x="485"/>
        <item m="1" x="486"/>
        <item m="1" x="487"/>
        <item m="1" x="488"/>
        <item m="1" x="489"/>
        <item m="1" x="490"/>
        <item m="1" x="491"/>
        <item m="1" x="492"/>
        <item m="1" x="493"/>
        <item m="1" x="494"/>
        <item m="1" x="495"/>
        <item m="1" x="496"/>
        <item m="1" x="497"/>
        <item m="1" x="498"/>
        <item m="1" x="499"/>
        <item m="1" x="500"/>
        <item m="1" x="501"/>
        <item m="1" x="502"/>
        <item m="1" x="503"/>
        <item m="1" x="504"/>
        <item m="1" x="505"/>
        <item m="1" x="506"/>
        <item m="1" x="507"/>
        <item m="1" x="508"/>
        <item m="1" x="509"/>
        <item m="1" x="510"/>
        <item m="1" x="511"/>
        <item m="1" x="512"/>
        <item m="1" x="513"/>
        <item m="1" x="514"/>
        <item m="1" x="515"/>
        <item m="1" x="516"/>
        <item m="1" x="517"/>
        <item m="1" x="518"/>
        <item m="1" x="519"/>
        <item m="1" x="520"/>
        <item m="1" x="521"/>
        <item m="1" x="522"/>
        <item m="1" x="523"/>
        <item m="1" x="524"/>
        <item m="1" x="525"/>
        <item m="1" x="526"/>
        <item m="1" x="527"/>
        <item m="1" x="528"/>
        <item m="1" x="529"/>
        <item m="1" x="530"/>
        <item m="1" x="531"/>
        <item m="1" x="532"/>
        <item m="1" x="533"/>
        <item m="1" x="534"/>
        <item m="1" x="535"/>
        <item m="1" x="536"/>
        <item m="1" x="537"/>
        <item m="1" x="538"/>
        <item m="1" x="539"/>
        <item m="1" x="540"/>
        <item m="1" x="541"/>
        <item m="1" x="542"/>
        <item m="1" x="543"/>
        <item m="1" x="544"/>
        <item m="1" x="545"/>
        <item m="1" x="546"/>
        <item m="1" x="547"/>
        <item m="1" x="548"/>
        <item m="1" x="549"/>
        <item m="1" x="550"/>
        <item m="1" x="551"/>
        <item m="1" x="552"/>
        <item m="1" x="553"/>
        <item m="1" x="554"/>
        <item m="1" x="555"/>
        <item m="1" x="556"/>
        <item m="1" x="557"/>
        <item m="1" x="558"/>
        <item m="1" x="559"/>
        <item m="1" x="560"/>
        <item m="1" x="561"/>
        <item m="1" x="562"/>
        <item m="1" x="563"/>
        <item m="1" x="564"/>
        <item m="1" x="565"/>
        <item m="1" x="566"/>
        <item m="1" x="567"/>
        <item m="1" x="568"/>
        <item m="1" x="569"/>
        <item m="1" x="570"/>
        <item m="1" x="571"/>
        <item m="1" x="572"/>
        <item m="1" x="573"/>
        <item m="1" x="574"/>
        <item m="1" x="575"/>
        <item m="1" x="576"/>
        <item m="1" x="577"/>
        <item m="1" x="578"/>
        <item m="1" x="579"/>
        <item m="1" x="580"/>
        <item m="1" x="581"/>
        <item m="1" x="582"/>
        <item m="1" x="583"/>
        <item m="1" x="584"/>
        <item m="1" x="585"/>
        <item m="1" x="586"/>
        <item m="1" x="587"/>
        <item m="1" x="588"/>
        <item m="1" x="589"/>
        <item m="1" x="590"/>
        <item m="1" x="591"/>
        <item m="1" x="592"/>
        <item m="1" x="593"/>
        <item m="1" x="594"/>
        <item m="1" x="595"/>
        <item m="1" x="596"/>
        <item m="1" x="597"/>
        <item m="1" x="598"/>
        <item m="1" x="5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compact="0" outline="0" showAll="0"/>
    <pivotField compact="0" outline="0" showAll="0"/>
    <pivotField compact="0" outline="0" showAll="0">
      <items count="7">
        <item x="1"/>
        <item x="2"/>
        <item x="5"/>
        <item x="4"/>
        <item x="0"/>
        <item x="3"/>
        <item t="default"/>
      </items>
    </pivotField>
    <pivotField compact="0" outline="0" showAll="0"/>
    <pivotField compact="0" outline="0" showAll="0"/>
    <pivotField compact="0" outline="0" showAll="0">
      <items count="5">
        <item x="3"/>
        <item x="0"/>
        <item x="1"/>
        <item x="2"/>
        <item t="default"/>
      </items>
    </pivotField>
    <pivotField compact="0" outline="0" showAll="0">
      <items count="6">
        <item x="3"/>
        <item x="1"/>
        <item x="0"/>
        <item x="2"/>
        <item x="4"/>
        <item t="default"/>
      </items>
    </pivotField>
    <pivotField compact="0" outline="0" showAll="0"/>
    <pivotField dataField="1" compact="0" outline="0" showAll="0"/>
    <pivotField compact="0" numFmtId="164" outline="0" showAll="0"/>
    <pivotField axis="axisRow" compact="0" outline="0" showAll="0">
      <items count="3">
        <item x="1"/>
        <item x="0"/>
        <item t="default"/>
      </items>
    </pivotField>
    <pivotField compact="0" numFmtId="164" outline="0" showAll="0"/>
    <pivotField compact="0" outline="0" multipleItemSelectionAllowed="1" showAll="0">
      <items count="3">
        <item x="1"/>
        <item x="0"/>
        <item t="default"/>
      </items>
    </pivotField>
    <pivotField compact="0" numFmtId="164" outline="0" showAll="0"/>
  </pivotFields>
  <rowFields count="1">
    <field x="11"/>
  </rowFields>
  <rowItems count="2">
    <i>
      <x/>
    </i>
    <i>
      <x v="1"/>
    </i>
  </rowItems>
  <colItems count="1">
    <i/>
  </colItems>
  <dataFields count="1">
    <dataField name="Sum of Medications_Administered" fld="9" baseField="0" baseItem="0"/>
  </dataFields>
  <chartFormats count="1">
    <chartFormat chart="21" format="19" series="1">
      <pivotArea type="data" outline="0" fieldPosition="0">
        <references count="1">
          <reference field="4294967294" count="1" selected="0">
            <x v="0"/>
          </reference>
        </references>
      </pivotArea>
    </chartFormat>
  </chartFormats>
  <pivotTableStyleInfo name="PivotStyleDark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C95C463-CFC3-4A9C-BDF9-A490417D5E53}"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6:B9" firstHeaderRow="1" firstDataRow="1" firstDataCol="1"/>
  <pivotFields count="15">
    <pivotField showAll="0"/>
    <pivotField axis="axisRow" showAll="0">
      <items count="3">
        <item x="1"/>
        <item x="0"/>
        <item t="default"/>
      </items>
    </pivotField>
    <pivotField showAll="0"/>
    <pivotField showAll="0">
      <items count="7">
        <item x="1"/>
        <item x="2"/>
        <item x="5"/>
        <item x="4"/>
        <item x="0"/>
        <item x="3"/>
        <item t="default"/>
      </items>
    </pivotField>
    <pivotField showAll="0"/>
    <pivotField showAll="0"/>
    <pivotField showAll="0">
      <items count="5">
        <item x="3"/>
        <item x="0"/>
        <item x="1"/>
        <item x="2"/>
        <item t="default"/>
      </items>
    </pivotField>
    <pivotField showAll="0">
      <items count="6">
        <item x="3"/>
        <item x="1"/>
        <item x="0"/>
        <item x="2"/>
        <item x="4"/>
        <item t="default"/>
      </items>
    </pivotField>
    <pivotField showAll="0"/>
    <pivotField showAll="0"/>
    <pivotField numFmtId="164" showAll="0"/>
    <pivotField showAll="0">
      <items count="3">
        <item x="1"/>
        <item x="0"/>
        <item t="default"/>
      </items>
    </pivotField>
    <pivotField dataField="1" numFmtId="164" showAll="0"/>
    <pivotField showAll="0"/>
    <pivotField numFmtId="164" showAll="0"/>
  </pivotFields>
  <rowFields count="1">
    <field x="1"/>
  </rowFields>
  <rowItems count="3">
    <i>
      <x/>
    </i>
    <i>
      <x v="1"/>
    </i>
    <i t="grand">
      <x/>
    </i>
  </rowItems>
  <colItems count="1">
    <i/>
  </colItems>
  <dataFields count="1">
    <dataField name="Sum of Bill_Amount_NGN" fld="12" baseField="0" baseItem="0" numFmtId="165"/>
  </dataFields>
  <formats count="1">
    <format dxfId="12">
      <pivotArea outline="0" collapsedLevelsAreSubtotals="1" fieldPosition="0"/>
    </format>
  </formats>
  <chartFormats count="3">
    <chartFormat chart="2" format="11" series="1">
      <pivotArea type="data" outline="0" fieldPosition="0">
        <references count="1">
          <reference field="4294967294" count="1" selected="0">
            <x v="0"/>
          </reference>
        </references>
      </pivotArea>
    </chartFormat>
    <chartFormat chart="2" format="12">
      <pivotArea type="data" outline="0" fieldPosition="0">
        <references count="2">
          <reference field="4294967294" count="1" selected="0">
            <x v="0"/>
          </reference>
          <reference field="1" count="1" selected="0">
            <x v="0"/>
          </reference>
        </references>
      </pivotArea>
    </chartFormat>
    <chartFormat chart="2" format="13">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20AFF1D6-19EE-40B0-8819-C345F744E5C3}"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1:E28" firstHeaderRow="1" firstDataRow="1" firstDataCol="1"/>
  <pivotFields count="15">
    <pivotField showAll="0"/>
    <pivotField showAll="0"/>
    <pivotField showAll="0"/>
    <pivotField showAll="0">
      <items count="7">
        <item x="1"/>
        <item x="2"/>
        <item x="5"/>
        <item x="4"/>
        <item x="0"/>
        <item x="3"/>
        <item t="default"/>
      </items>
    </pivotField>
    <pivotField axis="axisRow" showAll="0" sortType="ascending">
      <items count="7">
        <item x="4"/>
        <item x="3"/>
        <item x="1"/>
        <item x="2"/>
        <item x="5"/>
        <item x="0"/>
        <item t="default"/>
      </items>
      <autoSortScope>
        <pivotArea dataOnly="0" outline="0" fieldPosition="0">
          <references count="1">
            <reference field="4294967294" count="1" selected="0">
              <x v="0"/>
            </reference>
          </references>
        </pivotArea>
      </autoSortScope>
    </pivotField>
    <pivotField showAll="0"/>
    <pivotField showAll="0">
      <items count="5">
        <item x="3"/>
        <item x="0"/>
        <item x="1"/>
        <item x="2"/>
        <item t="default"/>
      </items>
    </pivotField>
    <pivotField showAll="0">
      <items count="6">
        <item x="3"/>
        <item x="1"/>
        <item x="0"/>
        <item x="2"/>
        <item x="4"/>
        <item t="default"/>
      </items>
    </pivotField>
    <pivotField showAll="0"/>
    <pivotField showAll="0"/>
    <pivotField dataField="1" numFmtId="164" showAll="0"/>
    <pivotField showAll="0">
      <items count="3">
        <item x="1"/>
        <item x="0"/>
        <item t="default"/>
      </items>
    </pivotField>
    <pivotField numFmtId="164" showAll="0"/>
    <pivotField showAll="0"/>
    <pivotField numFmtId="164" showAll="0"/>
  </pivotFields>
  <rowFields count="1">
    <field x="4"/>
  </rowFields>
  <rowItems count="7">
    <i>
      <x/>
    </i>
    <i>
      <x v="1"/>
    </i>
    <i>
      <x v="4"/>
    </i>
    <i>
      <x v="2"/>
    </i>
    <i>
      <x v="3"/>
    </i>
    <i>
      <x v="5"/>
    </i>
    <i t="grand">
      <x/>
    </i>
  </rowItems>
  <colItems count="1">
    <i/>
  </colItems>
  <dataFields count="1">
    <dataField name="Sum of Surgery_Cost_NGN" fld="10" baseField="0" baseItem="0" numFmtId="165"/>
  </dataFields>
  <formats count="1">
    <format dxfId="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80909977-4D16-43B9-8032-C1398518B4E0}"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79:H86" firstHeaderRow="1" firstDataRow="2" firstDataCol="1"/>
  <pivotFields count="15">
    <pivotField showAll="0"/>
    <pivotField showAll="0"/>
    <pivotField showAll="0"/>
    <pivotField showAll="0">
      <items count="7">
        <item x="1"/>
        <item x="2"/>
        <item x="5"/>
        <item x="4"/>
        <item x="0"/>
        <item x="3"/>
        <item t="default"/>
      </items>
    </pivotField>
    <pivotField axis="axisCol" showAll="0">
      <items count="7">
        <item x="4"/>
        <item x="3"/>
        <item x="1"/>
        <item x="2"/>
        <item x="5"/>
        <item x="0"/>
        <item t="default"/>
      </items>
    </pivotField>
    <pivotField showAll="0"/>
    <pivotField showAll="0">
      <items count="5">
        <item x="3"/>
        <item x="0"/>
        <item x="1"/>
        <item x="2"/>
        <item t="default"/>
      </items>
    </pivotField>
    <pivotField axis="axisRow" showAll="0">
      <items count="6">
        <item x="3"/>
        <item x="1"/>
        <item x="0"/>
        <item x="2"/>
        <item x="4"/>
        <item t="default"/>
      </items>
    </pivotField>
    <pivotField showAll="0"/>
    <pivotField showAll="0"/>
    <pivotField numFmtId="164" showAll="0"/>
    <pivotField showAll="0">
      <items count="3">
        <item x="1"/>
        <item x="0"/>
        <item t="default"/>
      </items>
    </pivotField>
    <pivotField dataField="1" numFmtId="164" showAll="0"/>
    <pivotField showAll="0"/>
    <pivotField numFmtId="164" showAll="0"/>
  </pivotFields>
  <rowFields count="1">
    <field x="7"/>
  </rowFields>
  <rowItems count="6">
    <i>
      <x/>
    </i>
    <i>
      <x v="1"/>
    </i>
    <i>
      <x v="2"/>
    </i>
    <i>
      <x v="3"/>
    </i>
    <i>
      <x v="4"/>
    </i>
    <i t="grand">
      <x/>
    </i>
  </rowItems>
  <colFields count="1">
    <field x="4"/>
  </colFields>
  <colItems count="7">
    <i>
      <x/>
    </i>
    <i>
      <x v="1"/>
    </i>
    <i>
      <x v="2"/>
    </i>
    <i>
      <x v="3"/>
    </i>
    <i>
      <x v="4"/>
    </i>
    <i>
      <x v="5"/>
    </i>
    <i t="grand">
      <x/>
    </i>
  </colItems>
  <dataFields count="1">
    <dataField name="Sum of Bill_Amount_NGN" fld="12" baseField="0" baseItem="0" numFmtId="164"/>
  </dataFields>
  <conditionalFormats count="6">
    <conditionalFormat priority="48">
      <pivotAreas count="1">
        <pivotArea type="data" collapsedLevelsAreSubtotals="1" fieldPosition="0">
          <references count="3">
            <reference field="4294967294" count="1" selected="0">
              <x v="0"/>
            </reference>
            <reference field="4" count="1" selected="0">
              <x v="5"/>
            </reference>
            <reference field="7" count="5">
              <x v="0"/>
              <x v="1"/>
              <x v="2"/>
              <x v="3"/>
              <x v="4"/>
            </reference>
          </references>
        </pivotArea>
      </pivotAreas>
    </conditionalFormat>
    <conditionalFormat priority="49">
      <pivotAreas count="1">
        <pivotArea type="data" collapsedLevelsAreSubtotals="1" fieldPosition="0">
          <references count="3">
            <reference field="4294967294" count="1" selected="0">
              <x v="0"/>
            </reference>
            <reference field="4" count="1" selected="0">
              <x v="4"/>
            </reference>
            <reference field="7" count="5">
              <x v="0"/>
              <x v="1"/>
              <x v="2"/>
              <x v="3"/>
              <x v="4"/>
            </reference>
          </references>
        </pivotArea>
      </pivotAreas>
    </conditionalFormat>
    <conditionalFormat priority="50">
      <pivotAreas count="1">
        <pivotArea type="data" collapsedLevelsAreSubtotals="1" fieldPosition="0">
          <references count="3">
            <reference field="4294967294" count="1" selected="0">
              <x v="0"/>
            </reference>
            <reference field="4" count="1" selected="0">
              <x v="3"/>
            </reference>
            <reference field="7" count="5">
              <x v="0"/>
              <x v="1"/>
              <x v="2"/>
              <x v="3"/>
              <x v="4"/>
            </reference>
          </references>
        </pivotArea>
      </pivotAreas>
    </conditionalFormat>
    <conditionalFormat priority="51">
      <pivotAreas count="1">
        <pivotArea type="data" collapsedLevelsAreSubtotals="1" fieldPosition="0">
          <references count="3">
            <reference field="4294967294" count="1" selected="0">
              <x v="0"/>
            </reference>
            <reference field="4" count="1" selected="0">
              <x v="2"/>
            </reference>
            <reference field="7" count="5">
              <x v="0"/>
              <x v="1"/>
              <x v="2"/>
              <x v="3"/>
              <x v="4"/>
            </reference>
          </references>
        </pivotArea>
      </pivotAreas>
    </conditionalFormat>
    <conditionalFormat priority="52">
      <pivotAreas count="1">
        <pivotArea type="data" collapsedLevelsAreSubtotals="1" fieldPosition="0">
          <references count="3">
            <reference field="4294967294" count="1" selected="0">
              <x v="0"/>
            </reference>
            <reference field="4" count="1" selected="0">
              <x v="1"/>
            </reference>
            <reference field="7" count="5">
              <x v="0"/>
              <x v="1"/>
              <x v="2"/>
              <x v="3"/>
              <x v="4"/>
            </reference>
          </references>
        </pivotArea>
      </pivotAreas>
    </conditionalFormat>
    <conditionalFormat priority="53">
      <pivotAreas count="1">
        <pivotArea type="data" collapsedLevelsAreSubtotals="1" fieldPosition="0">
          <references count="3">
            <reference field="4294967294" count="1" selected="0">
              <x v="0"/>
            </reference>
            <reference field="4" count="1" selected="0">
              <x v="0"/>
            </reference>
            <reference field="7" count="5">
              <x v="0"/>
              <x v="1"/>
              <x v="2"/>
              <x v="3"/>
              <x v="4"/>
            </reference>
          </references>
        </pivotArea>
      </pivotAreas>
    </conditionalFormat>
  </conditionalFormats>
  <chartFormats count="3">
    <chartFormat chart="1"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BAD31E7-5E16-4EC3-850C-C87E9C5E928A}" name="PivotTable2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G21:H28" firstHeaderRow="1" firstDataRow="1" firstDataCol="1"/>
  <pivotFields count="15">
    <pivotField dataField="1" showAll="0"/>
    <pivotField showAll="0"/>
    <pivotField showAll="0"/>
    <pivotField showAll="0">
      <items count="7">
        <item x="1"/>
        <item x="2"/>
        <item x="5"/>
        <item x="4"/>
        <item x="0"/>
        <item x="3"/>
        <item t="default"/>
      </items>
    </pivotField>
    <pivotField axis="axisRow" showAll="0" sortType="ascending">
      <items count="7">
        <item x="4"/>
        <item x="3"/>
        <item x="1"/>
        <item x="2"/>
        <item x="5"/>
        <item x="0"/>
        <item t="default"/>
      </items>
      <autoSortScope>
        <pivotArea dataOnly="0" outline="0" fieldPosition="0">
          <references count="1">
            <reference field="4294967294" count="1" selected="0">
              <x v="0"/>
            </reference>
          </references>
        </pivotArea>
      </autoSortScope>
    </pivotField>
    <pivotField showAll="0"/>
    <pivotField showAll="0">
      <items count="5">
        <item x="3"/>
        <item x="0"/>
        <item x="1"/>
        <item x="2"/>
        <item t="default"/>
      </items>
    </pivotField>
    <pivotField showAll="0">
      <items count="6">
        <item x="3"/>
        <item x="1"/>
        <item x="0"/>
        <item x="2"/>
        <item x="4"/>
        <item t="default"/>
      </items>
    </pivotField>
    <pivotField showAll="0"/>
    <pivotField showAll="0"/>
    <pivotField numFmtId="164" showAll="0"/>
    <pivotField showAll="0">
      <items count="3">
        <item x="1"/>
        <item x="0"/>
        <item t="default"/>
      </items>
    </pivotField>
    <pivotField numFmtId="164" showAll="0"/>
    <pivotField showAll="0"/>
    <pivotField numFmtId="164" showAll="0"/>
  </pivotFields>
  <rowFields count="1">
    <field x="4"/>
  </rowFields>
  <rowItems count="7">
    <i>
      <x v="1"/>
    </i>
    <i>
      <x v="3"/>
    </i>
    <i>
      <x/>
    </i>
    <i>
      <x v="4"/>
    </i>
    <i>
      <x v="2"/>
    </i>
    <i>
      <x v="5"/>
    </i>
    <i t="grand">
      <x/>
    </i>
  </rowItems>
  <colItems count="1">
    <i/>
  </colItems>
  <dataFields count="1">
    <dataField name="Count of Patient_ID" fld="0" subtotal="count" baseField="0" baseItem="0"/>
  </dataFields>
  <chartFormats count="7">
    <chartFormat chart="3" format="8" series="1">
      <pivotArea type="data" outline="0" fieldPosition="0">
        <references count="1">
          <reference field="4294967294" count="1" selected="0">
            <x v="0"/>
          </reference>
        </references>
      </pivotArea>
    </chartFormat>
    <chartFormat chart="3" format="16">
      <pivotArea type="data" outline="0" fieldPosition="0">
        <references count="2">
          <reference field="4294967294" count="1" selected="0">
            <x v="0"/>
          </reference>
          <reference field="4" count="1" selected="0">
            <x v="2"/>
          </reference>
        </references>
      </pivotArea>
    </chartFormat>
    <chartFormat chart="3" format="17">
      <pivotArea type="data" outline="0" fieldPosition="0">
        <references count="2">
          <reference field="4294967294" count="1" selected="0">
            <x v="0"/>
          </reference>
          <reference field="4" count="1" selected="0">
            <x v="5"/>
          </reference>
        </references>
      </pivotArea>
    </chartFormat>
    <chartFormat chart="3" format="18">
      <pivotArea type="data" outline="0" fieldPosition="0">
        <references count="2">
          <reference field="4294967294" count="1" selected="0">
            <x v="0"/>
          </reference>
          <reference field="4" count="1" selected="0">
            <x v="1"/>
          </reference>
        </references>
      </pivotArea>
    </chartFormat>
    <chartFormat chart="3" format="19">
      <pivotArea type="data" outline="0" fieldPosition="0">
        <references count="2">
          <reference field="4294967294" count="1" selected="0">
            <x v="0"/>
          </reference>
          <reference field="4" count="1" selected="0">
            <x v="3"/>
          </reference>
        </references>
      </pivotArea>
    </chartFormat>
    <chartFormat chart="3" format="20">
      <pivotArea type="data" outline="0" fieldPosition="0">
        <references count="2">
          <reference field="4294967294" count="1" selected="0">
            <x v="0"/>
          </reference>
          <reference field="4" count="1" selected="0">
            <x v="0"/>
          </reference>
        </references>
      </pivotArea>
    </chartFormat>
    <chartFormat chart="3" format="21">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9E902F4E-F585-4CEE-99C2-78729AC3006D}"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1:D39" firstHeaderRow="1" firstDataRow="2" firstDataCol="1"/>
  <pivotFields count="15">
    <pivotField dataField="1" showAll="0"/>
    <pivotField axis="axisCol" showAll="0">
      <items count="3">
        <item x="1"/>
        <item x="0"/>
        <item t="default"/>
      </items>
    </pivotField>
    <pivotField showAll="0"/>
    <pivotField axis="axisRow" showAll="0">
      <items count="7">
        <item x="0"/>
        <item x="5"/>
        <item x="1"/>
        <item x="3"/>
        <item x="2"/>
        <item x="4"/>
        <item t="default"/>
      </items>
    </pivotField>
    <pivotField showAll="0"/>
    <pivotField showAll="0"/>
    <pivotField showAll="0">
      <items count="5">
        <item x="3"/>
        <item x="0"/>
        <item x="1"/>
        <item x="2"/>
        <item t="default"/>
      </items>
    </pivotField>
    <pivotField showAll="0">
      <items count="6">
        <item x="3"/>
        <item x="1"/>
        <item x="0"/>
        <item x="2"/>
        <item x="4"/>
        <item t="default"/>
      </items>
    </pivotField>
    <pivotField showAll="0"/>
    <pivotField showAll="0"/>
    <pivotField numFmtId="164" showAll="0"/>
    <pivotField showAll="0">
      <items count="3">
        <item x="1"/>
        <item x="0"/>
        <item t="default"/>
      </items>
    </pivotField>
    <pivotField numFmtId="164" showAll="0"/>
    <pivotField showAll="0"/>
    <pivotField numFmtId="164" showAll="0"/>
  </pivotFields>
  <rowFields count="1">
    <field x="3"/>
  </rowFields>
  <rowItems count="7">
    <i>
      <x/>
    </i>
    <i>
      <x v="1"/>
    </i>
    <i>
      <x v="2"/>
    </i>
    <i>
      <x v="3"/>
    </i>
    <i>
      <x v="4"/>
    </i>
    <i>
      <x v="5"/>
    </i>
    <i t="grand">
      <x/>
    </i>
  </rowItems>
  <colFields count="1">
    <field x="1"/>
  </colFields>
  <colItems count="3">
    <i>
      <x/>
    </i>
    <i>
      <x v="1"/>
    </i>
    <i t="grand">
      <x/>
    </i>
  </colItems>
  <dataFields count="1">
    <dataField name="Count of Patient_ID" fld="0" subtotal="count" baseField="0" baseItem="0"/>
  </dataFields>
  <conditionalFormats count="2">
    <conditionalFormat priority="46">
      <pivotAreas count="1">
        <pivotArea type="data" collapsedLevelsAreSubtotals="1" fieldPosition="0">
          <references count="3">
            <reference field="4294967294" count="1" selected="0">
              <x v="0"/>
            </reference>
            <reference field="1" count="1" selected="0">
              <x v="1"/>
            </reference>
            <reference field="3" count="6">
              <x v="0"/>
              <x v="1"/>
              <x v="2"/>
              <x v="3"/>
              <x v="4"/>
              <x v="5"/>
            </reference>
          </references>
        </pivotArea>
      </pivotAreas>
    </conditionalFormat>
    <conditionalFormat priority="47">
      <pivotAreas count="1">
        <pivotArea type="data" collapsedLevelsAreSubtotals="1" fieldPosition="0">
          <references count="3">
            <reference field="4294967294" count="1" selected="0">
              <x v="0"/>
            </reference>
            <reference field="1" count="1" selected="0">
              <x v="0"/>
            </reference>
            <reference field="3" count="6">
              <x v="0"/>
              <x v="1"/>
              <x v="2"/>
              <x v="3"/>
              <x v="4"/>
              <x v="5"/>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gnosis" xr10:uid="{ED3D5459-AB67-470C-AC66-683B2B28B369}" sourceName="Diagnosis">
  <pivotTables>
    <pivotTable tabId="2" name="PivotTable20"/>
    <pivotTable tabId="2" name="PivotTable10"/>
    <pivotTable tabId="2" name="PivotTable11"/>
    <pivotTable tabId="2" name="PivotTable13"/>
    <pivotTable tabId="2" name="PivotTable14"/>
    <pivotTable tabId="2" name="PivotTable15"/>
    <pivotTable tabId="2" name="PivotTable16"/>
    <pivotTable tabId="2" name="PivotTable17"/>
    <pivotTable tabId="2" name="PivotTable18"/>
    <pivotTable tabId="2" name="PivotTable19"/>
    <pivotTable tabId="2" name="PivotTable21"/>
    <pivotTable tabId="2" name="PivotTable22"/>
    <pivotTable tabId="2" name="PivotTable23"/>
    <pivotTable tabId="2" name="PivotTable24"/>
    <pivotTable tabId="2" name="PivotTable25"/>
    <pivotTable tabId="2" name="PivotTable1"/>
    <pivotTable tabId="2" name="PivotTable2"/>
    <pivotTable tabId="2" name="PivotTable3"/>
  </pivotTables>
  <data>
    <tabular pivotCacheId="877356188">
      <items count="5">
        <i x="3" s="1"/>
        <i x="1" s="1"/>
        <i x="0" s="1"/>
        <i x="2"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gery_Status" xr10:uid="{13D60727-DBEA-4AEB-949E-C6DA78CAF198}" sourceName="Surgery Status">
  <pivotTables>
    <pivotTable tabId="2" name="PivotTable24"/>
    <pivotTable tabId="2" name="PivotTable10"/>
    <pivotTable tabId="2" name="PivotTable11"/>
    <pivotTable tabId="2" name="PivotTable13"/>
    <pivotTable tabId="2" name="PivotTable14"/>
    <pivotTable tabId="2" name="PivotTable15"/>
    <pivotTable tabId="2" name="PivotTable16"/>
    <pivotTable tabId="2" name="PivotTable17"/>
    <pivotTable tabId="2" name="PivotTable18"/>
    <pivotTable tabId="2" name="PivotTable19"/>
    <pivotTable tabId="2" name="PivotTable20"/>
    <pivotTable tabId="2" name="PivotTable21"/>
    <pivotTable tabId="2" name="PivotTable22"/>
    <pivotTable tabId="2" name="PivotTable23"/>
    <pivotTable tabId="2" name="PivotTable25"/>
    <pivotTable tabId="2" name="PivotTable1"/>
    <pivotTable tabId="2" name="PivotTable2"/>
    <pivotTable tabId="2" name="PivotTable3"/>
  </pivotTables>
  <data>
    <tabular pivotCacheId="877356188">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Demographic" xr10:uid="{F2DBCDB4-2852-4923-A537-F670E034AA1E}" sourceName="Age_Demographic">
  <pivotTables>
    <pivotTable tabId="2" name="PivotTable2"/>
    <pivotTable tabId="2" name="PivotTable1"/>
    <pivotTable tabId="2" name="PivotTable10"/>
    <pivotTable tabId="2" name="PivotTable11"/>
    <pivotTable tabId="2" name="PivotTable13"/>
    <pivotTable tabId="2" name="PivotTable14"/>
    <pivotTable tabId="2" name="PivotTable15"/>
    <pivotTable tabId="2" name="PivotTable16"/>
    <pivotTable tabId="2" name="PivotTable17"/>
    <pivotTable tabId="2" name="PivotTable18"/>
    <pivotTable tabId="2" name="PivotTable19"/>
    <pivotTable tabId="2" name="PivotTable20"/>
    <pivotTable tabId="2" name="PivotTable21"/>
    <pivotTable tabId="2" name="PivotTable22"/>
    <pivotTable tabId="2" name="PivotTable23"/>
    <pivotTable tabId="2" name="PivotTable24"/>
    <pivotTable tabId="2" name="PivotTable25"/>
    <pivotTable tabId="2" name="PivotTable3"/>
  </pivotTables>
  <data>
    <tabular pivotCacheId="877356188">
      <items count="6">
        <i x="1" s="1"/>
        <i x="2" s="1"/>
        <i x="5" s="1"/>
        <i x="4"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agnosis" xr10:uid="{ACD36AFF-4716-4682-952B-C1CF6E2692C4}" cache="Slicer_Diagnosis" caption="Diagnosis" rowHeight="251883"/>
  <slicer name="Surgery Status 1" xr10:uid="{87824F7A-E2DA-4078-94F9-4093B3D95FD5}" cache="Slicer_Surgery_Status" caption="Surgery Status"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agnosis 1" xr10:uid="{4117BE8E-622E-4829-A638-B7E2D63DCFA2}" cache="Slicer_Diagnosis" caption="Diagnosis" rowHeight="251883"/>
  <slicer name="Surgery Status 2" xr10:uid="{80E40625-3778-41B1-BE7E-F9D5EB7631C9}" cache="Slicer_Surgery_Status" caption="Surgery Status" rowHeight="25188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gery Status" xr10:uid="{3E5A98D9-9397-45D6-BC05-A2673910AAF0}" cache="Slicer_Surgery_Status" caption="Surgery Status" rowHeight="251883"/>
  <slicer name="Age_Demographic" xr10:uid="{EA3988C5-D1FA-4C53-BDC7-FDF6E285B255}" cache="Slicer_Age_Demographic" caption="Age_Demographic"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FE8C55F-6FFB-4D00-B219-F4DEEE1D57F0}" name="Table1" displayName="Table1" ref="A1:O301" totalsRowShown="0" headerRowDxfId="21">
  <tableColumns count="15">
    <tableColumn id="1" xr3:uid="{C59E06A1-E4D9-444E-B2B3-75A68D71EF32}" name="Patient_ID"/>
    <tableColumn id="2" xr3:uid="{0CCD734D-E3BF-40C3-874B-F40FEFF0599E}" name="Gender"/>
    <tableColumn id="3" xr3:uid="{08D884C5-1CA0-4437-B230-20F0251145DA}" name="Age"/>
    <tableColumn id="13" xr3:uid="{B82FB7BD-718D-49E0-BFEC-270C788D9963}" name="Age_Demographic" dataDxfId="20">
      <calculatedColumnFormula>IF(Table1[[#This Row],[Age]]&lt;=4, "Toddler (0-4)",
IF(Table1[[#This Row],[Age]]&lt;=12, "Child (5-12)",
IF(Table1[[#This Row],[Age]]&lt;=19, "Adolescent (13-19)",
IF(Table1[[#This Row],[Age]]&lt;=35, "Young adult (20-35)",
IF(Table1[[#This Row],[Age]]&lt;=59, "Adult (36-59)", "Elderly (60-90)")))))</calculatedColumnFormula>
    </tableColumn>
    <tableColumn id="4" xr3:uid="{9DB7AD49-76A2-4424-8AB4-9D2961AE7086}" name="State"/>
    <tableColumn id="5" xr3:uid="{4CF00453-6723-403F-A34B-A2FCF000BF96}" name="Admission_Days"/>
    <tableColumn id="14" xr3:uid="{56465228-A96D-45E9-ABB1-FB000E73D212}" name="Admission_Duration" dataDxfId="19">
      <calculatedColumnFormula>IF(Table1[[#This Row],[Admission_Days]]&lt;=5, "Immediate (1-5)",
IF(Table1[[#This Row],[Admission_Days]]&lt;=10, "Short-term (6-10)",
IF(Table1[[#This Row],[Admission_Days]]&lt;=15, "Medium-term (11-15)", "Long-term (16-20)")))</calculatedColumnFormula>
    </tableColumn>
    <tableColumn id="6" xr3:uid="{DDE314D8-4D96-44B4-9135-F4D6B94D32F7}" name="Diagnosis"/>
    <tableColumn id="7" xr3:uid="{4C01059C-0DD5-4501-BF3A-1E2ECF0788F7}" name="Lab_Tests_Conducted"/>
    <tableColumn id="8" xr3:uid="{1AD665B7-14BE-4FC6-A281-2765DDC72619}" name="Medications_Administered"/>
    <tableColumn id="9" xr3:uid="{31CA6461-ADF9-4F16-AB47-12C45F0879E9}" name="Surgery_Cost_NGN" dataDxfId="18" dataCellStyle="Comma"/>
    <tableColumn id="12" xr3:uid="{D45896C0-DB03-4A07-92E5-62F14370700C}" name="Surgery Status" dataDxfId="17" dataCellStyle="Comma">
      <calculatedColumnFormula>IF(Table1[[#This Row],[Surgery_Cost_NGN]]&gt;0, "Yes", "No")</calculatedColumnFormula>
    </tableColumn>
    <tableColumn id="10" xr3:uid="{9FE1A006-DC2B-4223-930B-C5F145FC1CB3}" name="Bill_Amount_NGN" dataDxfId="16" dataCellStyle="Comma"/>
    <tableColumn id="11" xr3:uid="{E28C9D6D-364E-4564-B796-50685FCEB2A3}" name="Anomaly_Detection" dataDxfId="15">
      <calculatedColumnFormula>IF(Table1[[#This Row],[Surgery_Cost_NGN]]&gt;Table1[[#This Row],[Bill_Amount_NGN]], "Anomaly detected", "Valid")</calculatedColumnFormula>
    </tableColumn>
    <tableColumn id="15" xr3:uid="{F004C744-0E6B-41BC-9BF0-48B34D229B92}" name="%Revenue Ratio" dataDxfId="14" dataCellStyle="Comma">
      <calculatedColumnFormula>IF(M2=0, 0, K2/M2*100)</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D3E6D-37A3-4186-9B44-1C3BD90A582C}">
  <dimension ref="A1:O301"/>
  <sheetViews>
    <sheetView workbookViewId="0">
      <selection activeCell="H141" sqref="H141"/>
    </sheetView>
  </sheetViews>
  <sheetFormatPr defaultRowHeight="14.5" x14ac:dyDescent="0.35"/>
  <cols>
    <col min="1" max="1" width="13.453125" bestFit="1" customWidth="1"/>
    <col min="2" max="2" width="6.90625" bestFit="1" customWidth="1"/>
    <col min="3" max="3" width="3.81640625" bestFit="1" customWidth="1"/>
    <col min="4" max="4" width="15.90625" bestFit="1" customWidth="1"/>
    <col min="5" max="5" width="5.7265625" bestFit="1" customWidth="1"/>
    <col min="6" max="6" width="14.6328125" bestFit="1" customWidth="1"/>
    <col min="7" max="7" width="19.36328125" customWidth="1"/>
    <col min="8" max="8" width="11.54296875" bestFit="1" customWidth="1"/>
    <col min="9" max="9" width="19.26953125" hidden="1" customWidth="1"/>
    <col min="10" max="10" width="25.7265625" hidden="1" customWidth="1"/>
    <col min="11" max="11" width="20.08984375" style="1" bestFit="1" customWidth="1"/>
    <col min="12" max="12" width="12.90625" bestFit="1" customWidth="1"/>
    <col min="13" max="13" width="19.26953125" style="1" bestFit="1" customWidth="1"/>
    <col min="14" max="14" width="19.54296875" bestFit="1" customWidth="1"/>
    <col min="15" max="15" width="18" style="1" bestFit="1" customWidth="1"/>
  </cols>
  <sheetData>
    <row r="1" spans="1:15" x14ac:dyDescent="0.35">
      <c r="A1" s="2" t="s">
        <v>0</v>
      </c>
      <c r="B1" s="2" t="s">
        <v>1</v>
      </c>
      <c r="C1" s="2" t="s">
        <v>2</v>
      </c>
      <c r="D1" s="2" t="s">
        <v>28</v>
      </c>
      <c r="E1" s="2" t="s">
        <v>3</v>
      </c>
      <c r="F1" s="2" t="s">
        <v>4</v>
      </c>
      <c r="G1" s="2" t="s">
        <v>42</v>
      </c>
      <c r="H1" s="2" t="s">
        <v>5</v>
      </c>
      <c r="I1" s="2" t="s">
        <v>6</v>
      </c>
      <c r="J1" s="2" t="s">
        <v>7</v>
      </c>
      <c r="K1" s="3" t="s">
        <v>8</v>
      </c>
      <c r="L1" s="2" t="s">
        <v>29</v>
      </c>
      <c r="M1" s="3" t="s">
        <v>9</v>
      </c>
      <c r="N1" s="2" t="s">
        <v>27</v>
      </c>
      <c r="O1" s="3" t="s">
        <v>55</v>
      </c>
    </row>
    <row r="2" spans="1:15" x14ac:dyDescent="0.35">
      <c r="A2" t="s">
        <v>64</v>
      </c>
      <c r="B2" t="s">
        <v>10</v>
      </c>
      <c r="C2">
        <v>1</v>
      </c>
      <c r="D2" t="str">
        <f>IF(Table1[[#This Row],[Age]]&lt;=4, "Toddler (0-4)",
IF(Table1[[#This Row],[Age]]&lt;=12, "Child (5-12)",
IF(Table1[[#This Row],[Age]]&lt;=19, "Adolescent (13-19)",
IF(Table1[[#This Row],[Age]]&lt;=35, "Young adult (20-35)",
IF(Table1[[#This Row],[Age]]&lt;=59, "Adult (36-59)", "Elderly (60-90)")))))</f>
        <v>Toddler (0-4)</v>
      </c>
      <c r="E2" t="s">
        <v>11</v>
      </c>
      <c r="F2">
        <v>16</v>
      </c>
      <c r="G2" t="str">
        <f>IF(Table1[[#This Row],[Admission_Days]]&lt;=5, "Immediate (1-5)",
IF(Table1[[#This Row],[Admission_Days]]&lt;=10, "Short-term (6-10)",
IF(Table1[[#This Row],[Admission_Days]]&lt;=15, "Medium-term (11-15)", "Long-term (16-20)")))</f>
        <v>Long-term (16-20)</v>
      </c>
      <c r="H2" t="s">
        <v>12</v>
      </c>
      <c r="I2">
        <v>0</v>
      </c>
      <c r="J2">
        <v>4</v>
      </c>
      <c r="K2" s="1">
        <v>150000</v>
      </c>
      <c r="L2" t="str">
        <f>IF(Table1[[#This Row],[Surgery_Cost_NGN]]&gt;0, "Yes", "No")</f>
        <v>Yes</v>
      </c>
      <c r="M2" s="1">
        <v>387968</v>
      </c>
      <c r="N2" t="str">
        <f>IF(Table1[[#This Row],[Surgery_Cost_NGN]]&gt;Table1[[#This Row],[Bill_Amount_NGN]], "Anomaly detected", "Valid")</f>
        <v>Valid</v>
      </c>
      <c r="O2" s="1">
        <f t="shared" ref="O2:O65" si="0">IF(M2=0, 0, K2/M2*100)</f>
        <v>38.662982514021778</v>
      </c>
    </row>
    <row r="3" spans="1:15" x14ac:dyDescent="0.35">
      <c r="A3" t="s">
        <v>65</v>
      </c>
      <c r="B3" t="s">
        <v>13</v>
      </c>
      <c r="C3">
        <v>19</v>
      </c>
      <c r="D3" t="str">
        <f>IF(Table1[[#This Row],[Age]]&lt;=4, "Toddler (0-4)",
IF(Table1[[#This Row],[Age]]&lt;=12, "Child (5-12)",
IF(Table1[[#This Row],[Age]]&lt;=19, "Adolescent (13-19)",
IF(Table1[[#This Row],[Age]]&lt;=35, "Young adult (20-35)",
IF(Table1[[#This Row],[Age]]&lt;=59, "Adult (36-59)", "Elderly (60-90)")))))</f>
        <v>Adolescent (13-19)</v>
      </c>
      <c r="E3" t="s">
        <v>14</v>
      </c>
      <c r="F3">
        <v>11</v>
      </c>
      <c r="G3" t="str">
        <f>IF(Table1[[#This Row],[Admission_Days]]&lt;=5, "Immediate (1-5)",
IF(Table1[[#This Row],[Admission_Days]]&lt;=10, "Short-term (6-10)",
IF(Table1[[#This Row],[Admission_Days]]&lt;=15, "Medium-term (11-15)", "Long-term (16-20)")))</f>
        <v>Medium-term (11-15)</v>
      </c>
      <c r="H3" t="s">
        <v>15</v>
      </c>
      <c r="I3">
        <v>3</v>
      </c>
      <c r="J3">
        <v>4</v>
      </c>
      <c r="K3" s="1">
        <v>0</v>
      </c>
      <c r="L3" t="str">
        <f>IF(Table1[[#This Row],[Surgery_Cost_NGN]]&gt;0, "Yes", "No")</f>
        <v>No</v>
      </c>
      <c r="M3" s="1">
        <v>200169</v>
      </c>
      <c r="N3" t="str">
        <f>IF(Table1[[#This Row],[Surgery_Cost_NGN]]&gt;Table1[[#This Row],[Bill_Amount_NGN]], "Anomaly detected", "Valid")</f>
        <v>Valid</v>
      </c>
      <c r="O3" s="1">
        <f t="shared" si="0"/>
        <v>0</v>
      </c>
    </row>
    <row r="4" spans="1:15" x14ac:dyDescent="0.35">
      <c r="A4" t="s">
        <v>66</v>
      </c>
      <c r="B4" t="s">
        <v>10</v>
      </c>
      <c r="C4">
        <v>2</v>
      </c>
      <c r="D4" t="str">
        <f>IF(Table1[[#This Row],[Age]]&lt;=4, "Toddler (0-4)",
IF(Table1[[#This Row],[Age]]&lt;=12, "Child (5-12)",
IF(Table1[[#This Row],[Age]]&lt;=19, "Adolescent (13-19)",
IF(Table1[[#This Row],[Age]]&lt;=35, "Young adult (20-35)",
IF(Table1[[#This Row],[Age]]&lt;=59, "Adult (36-59)", "Elderly (60-90)")))))</f>
        <v>Toddler (0-4)</v>
      </c>
      <c r="E4" t="s">
        <v>16</v>
      </c>
      <c r="F4">
        <v>16</v>
      </c>
      <c r="G4" t="str">
        <f>IF(Table1[[#This Row],[Admission_Days]]&lt;=5, "Immediate (1-5)",
IF(Table1[[#This Row],[Admission_Days]]&lt;=10, "Short-term (6-10)",
IF(Table1[[#This Row],[Admission_Days]]&lt;=15, "Medium-term (11-15)", "Long-term (16-20)")))</f>
        <v>Long-term (16-20)</v>
      </c>
      <c r="H4" t="s">
        <v>17</v>
      </c>
      <c r="I4">
        <v>0</v>
      </c>
      <c r="J4">
        <v>9</v>
      </c>
      <c r="K4" s="1">
        <v>0</v>
      </c>
      <c r="L4" t="str">
        <f>IF(Table1[[#This Row],[Surgery_Cost_NGN]]&gt;0, "Yes", "No")</f>
        <v>No</v>
      </c>
      <c r="M4" s="1">
        <v>290679</v>
      </c>
      <c r="N4" t="str">
        <f>IF(Table1[[#This Row],[Surgery_Cost_NGN]]&gt;Table1[[#This Row],[Bill_Amount_NGN]], "Anomaly detected", "Valid")</f>
        <v>Valid</v>
      </c>
      <c r="O4" s="1">
        <f>IF(M4=0, 0, K4/M4*100)</f>
        <v>0</v>
      </c>
    </row>
    <row r="5" spans="1:15" x14ac:dyDescent="0.35">
      <c r="A5" t="s">
        <v>67</v>
      </c>
      <c r="B5" t="s">
        <v>10</v>
      </c>
      <c r="C5">
        <v>53</v>
      </c>
      <c r="D5" t="str">
        <f>IF(Table1[[#This Row],[Age]]&lt;=4, "Toddler (0-4)",
IF(Table1[[#This Row],[Age]]&lt;=12, "Child (5-12)",
IF(Table1[[#This Row],[Age]]&lt;=19, "Adolescent (13-19)",
IF(Table1[[#This Row],[Age]]&lt;=35, "Young adult (20-35)",
IF(Table1[[#This Row],[Age]]&lt;=59, "Adult (36-59)", "Elderly (60-90)")))))</f>
        <v>Adult (36-59)</v>
      </c>
      <c r="E5" t="s">
        <v>14</v>
      </c>
      <c r="F5">
        <v>8</v>
      </c>
      <c r="G5" t="str">
        <f>IF(Table1[[#This Row],[Admission_Days]]&lt;=5, "Immediate (1-5)",
IF(Table1[[#This Row],[Admission_Days]]&lt;=10, "Short-term (6-10)",
IF(Table1[[#This Row],[Admission_Days]]&lt;=15, "Medium-term (11-15)", "Long-term (16-20)")))</f>
        <v>Short-term (6-10)</v>
      </c>
      <c r="H5" t="s">
        <v>18</v>
      </c>
      <c r="I5">
        <v>1</v>
      </c>
      <c r="J5">
        <v>6</v>
      </c>
      <c r="K5" s="1">
        <v>600000</v>
      </c>
      <c r="L5" t="str">
        <f>IF(Table1[[#This Row],[Surgery_Cost_NGN]]&gt;0, "Yes", "No")</f>
        <v>Yes</v>
      </c>
      <c r="M5" s="1">
        <v>722106</v>
      </c>
      <c r="N5" t="str">
        <f>IF(Table1[[#This Row],[Surgery_Cost_NGN]]&gt;Table1[[#This Row],[Bill_Amount_NGN]], "Anomaly detected", "Valid")</f>
        <v>Valid</v>
      </c>
      <c r="O5" s="1">
        <f t="shared" si="0"/>
        <v>83.090294222731842</v>
      </c>
    </row>
    <row r="6" spans="1:15" x14ac:dyDescent="0.35">
      <c r="A6" t="s">
        <v>68</v>
      </c>
      <c r="B6" t="s">
        <v>10</v>
      </c>
      <c r="C6">
        <v>44</v>
      </c>
      <c r="D6" t="str">
        <f>IF(Table1[[#This Row],[Age]]&lt;=4, "Toddler (0-4)",
IF(Table1[[#This Row],[Age]]&lt;=12, "Child (5-12)",
IF(Table1[[#This Row],[Age]]&lt;=19, "Adolescent (13-19)",
IF(Table1[[#This Row],[Age]]&lt;=35, "Young adult (20-35)",
IF(Table1[[#This Row],[Age]]&lt;=59, "Adult (36-59)", "Elderly (60-90)")))))</f>
        <v>Adult (36-59)</v>
      </c>
      <c r="E6" t="s">
        <v>19</v>
      </c>
      <c r="F6">
        <v>4</v>
      </c>
      <c r="G6" t="str">
        <f>IF(Table1[[#This Row],[Admission_Days]]&lt;=5, "Immediate (1-5)",
IF(Table1[[#This Row],[Admission_Days]]&lt;=10, "Short-term (6-10)",
IF(Table1[[#This Row],[Admission_Days]]&lt;=15, "Medium-term (11-15)", "Long-term (16-20)")))</f>
        <v>Immediate (1-5)</v>
      </c>
      <c r="H6" t="s">
        <v>12</v>
      </c>
      <c r="I6">
        <v>5</v>
      </c>
      <c r="J6">
        <v>9</v>
      </c>
      <c r="K6" s="1">
        <v>150000</v>
      </c>
      <c r="L6" t="str">
        <f>IF(Table1[[#This Row],[Surgery_Cost_NGN]]&gt;0, "Yes", "No")</f>
        <v>Yes</v>
      </c>
      <c r="M6" s="1">
        <v>275122</v>
      </c>
      <c r="N6" t="str">
        <f>IF(Table1[[#This Row],[Surgery_Cost_NGN]]&gt;Table1[[#This Row],[Bill_Amount_NGN]], "Anomaly detected", "Valid")</f>
        <v>Valid</v>
      </c>
      <c r="O6" s="1">
        <f t="shared" si="0"/>
        <v>54.521266928853386</v>
      </c>
    </row>
    <row r="7" spans="1:15" x14ac:dyDescent="0.35">
      <c r="A7" t="s">
        <v>69</v>
      </c>
      <c r="B7" t="s">
        <v>13</v>
      </c>
      <c r="C7">
        <v>32</v>
      </c>
      <c r="D7" t="str">
        <f>IF(Table1[[#This Row],[Age]]&lt;=4, "Toddler (0-4)",
IF(Table1[[#This Row],[Age]]&lt;=12, "Child (5-12)",
IF(Table1[[#This Row],[Age]]&lt;=19, "Adolescent (13-19)",
IF(Table1[[#This Row],[Age]]&lt;=35, "Young adult (20-35)",
IF(Table1[[#This Row],[Age]]&lt;=59, "Adult (36-59)", "Elderly (60-90)")))))</f>
        <v>Young adult (20-35)</v>
      </c>
      <c r="E7" t="s">
        <v>14</v>
      </c>
      <c r="F7">
        <v>8</v>
      </c>
      <c r="G7" t="str">
        <f>IF(Table1[[#This Row],[Admission_Days]]&lt;=5, "Immediate (1-5)",
IF(Table1[[#This Row],[Admission_Days]]&lt;=10, "Short-term (6-10)",
IF(Table1[[#This Row],[Admission_Days]]&lt;=15, "Medium-term (11-15)", "Long-term (16-20)")))</f>
        <v>Short-term (6-10)</v>
      </c>
      <c r="H7" t="s">
        <v>18</v>
      </c>
      <c r="I7">
        <v>0</v>
      </c>
      <c r="J7">
        <v>6</v>
      </c>
      <c r="K7" s="1">
        <v>250000</v>
      </c>
      <c r="L7" t="str">
        <f>IF(Table1[[#This Row],[Surgery_Cost_NGN]]&gt;0, "Yes", "No")</f>
        <v>Yes</v>
      </c>
      <c r="M7" s="1">
        <v>361456</v>
      </c>
      <c r="N7" t="str">
        <f>IF(Table1[[#This Row],[Surgery_Cost_NGN]]&gt;Table1[[#This Row],[Bill_Amount_NGN]], "Anomaly detected", "Valid")</f>
        <v>Valid</v>
      </c>
      <c r="O7" s="1">
        <f t="shared" si="0"/>
        <v>69.164711610818458</v>
      </c>
    </row>
    <row r="8" spans="1:15" x14ac:dyDescent="0.35">
      <c r="A8" t="s">
        <v>70</v>
      </c>
      <c r="B8" t="s">
        <v>10</v>
      </c>
      <c r="C8">
        <v>70</v>
      </c>
      <c r="D8" t="str">
        <f>IF(Table1[[#This Row],[Age]]&lt;=4, "Toddler (0-4)",
IF(Table1[[#This Row],[Age]]&lt;=12, "Child (5-12)",
IF(Table1[[#This Row],[Age]]&lt;=19, "Adolescent (13-19)",
IF(Table1[[#This Row],[Age]]&lt;=35, "Young adult (20-35)",
IF(Table1[[#This Row],[Age]]&lt;=59, "Adult (36-59)", "Elderly (60-90)")))))</f>
        <v>Elderly (60-90)</v>
      </c>
      <c r="E8" t="s">
        <v>14</v>
      </c>
      <c r="F8">
        <v>4</v>
      </c>
      <c r="G8" t="str">
        <f>IF(Table1[[#This Row],[Admission_Days]]&lt;=5, "Immediate (1-5)",
IF(Table1[[#This Row],[Admission_Days]]&lt;=10, "Short-term (6-10)",
IF(Table1[[#This Row],[Admission_Days]]&lt;=15, "Medium-term (11-15)", "Long-term (16-20)")))</f>
        <v>Immediate (1-5)</v>
      </c>
      <c r="H8" t="s">
        <v>18</v>
      </c>
      <c r="I8">
        <v>3</v>
      </c>
      <c r="J8">
        <v>6</v>
      </c>
      <c r="K8" s="1">
        <v>250000</v>
      </c>
      <c r="L8" t="str">
        <f>IF(Table1[[#This Row],[Surgery_Cost_NGN]]&gt;0, "Yes", "No")</f>
        <v>Yes</v>
      </c>
      <c r="M8" s="1">
        <v>340999</v>
      </c>
      <c r="N8" t="str">
        <f>IF(Table1[[#This Row],[Surgery_Cost_NGN]]&gt;Table1[[#This Row],[Bill_Amount_NGN]], "Anomaly detected", "Valid")</f>
        <v>Valid</v>
      </c>
      <c r="O8" s="1">
        <f t="shared" si="0"/>
        <v>73.313997988263893</v>
      </c>
    </row>
    <row r="9" spans="1:15" x14ac:dyDescent="0.35">
      <c r="A9" t="s">
        <v>71</v>
      </c>
      <c r="B9" t="s">
        <v>10</v>
      </c>
      <c r="C9">
        <v>32</v>
      </c>
      <c r="D9" t="str">
        <f>IF(Table1[[#This Row],[Age]]&lt;=4, "Toddler (0-4)",
IF(Table1[[#This Row],[Age]]&lt;=12, "Child (5-12)",
IF(Table1[[#This Row],[Age]]&lt;=19, "Adolescent (13-19)",
IF(Table1[[#This Row],[Age]]&lt;=35, "Young adult (20-35)",
IF(Table1[[#This Row],[Age]]&lt;=59, "Adult (36-59)", "Elderly (60-90)")))))</f>
        <v>Young adult (20-35)</v>
      </c>
      <c r="E9" t="s">
        <v>19</v>
      </c>
      <c r="F9">
        <v>3</v>
      </c>
      <c r="G9" t="str">
        <f>IF(Table1[[#This Row],[Admission_Days]]&lt;=5, "Immediate (1-5)",
IF(Table1[[#This Row],[Admission_Days]]&lt;=10, "Short-term (6-10)",
IF(Table1[[#This Row],[Admission_Days]]&lt;=15, "Medium-term (11-15)", "Long-term (16-20)")))</f>
        <v>Immediate (1-5)</v>
      </c>
      <c r="H9" t="s">
        <v>12</v>
      </c>
      <c r="I9">
        <v>4</v>
      </c>
      <c r="J9">
        <v>5</v>
      </c>
      <c r="K9" s="1">
        <v>400000</v>
      </c>
      <c r="L9" t="str">
        <f>IF(Table1[[#This Row],[Surgery_Cost_NGN]]&gt;0, "Yes", "No")</f>
        <v>Yes</v>
      </c>
      <c r="M9" s="1">
        <v>536289</v>
      </c>
      <c r="N9" t="str">
        <f>IF(Table1[[#This Row],[Surgery_Cost_NGN]]&gt;Table1[[#This Row],[Bill_Amount_NGN]], "Anomaly detected", "Valid")</f>
        <v>Valid</v>
      </c>
      <c r="O9" s="1">
        <f t="shared" si="0"/>
        <v>74.586650108430348</v>
      </c>
    </row>
    <row r="10" spans="1:15" x14ac:dyDescent="0.35">
      <c r="A10" t="s">
        <v>72</v>
      </c>
      <c r="B10" t="s">
        <v>10</v>
      </c>
      <c r="C10">
        <v>68</v>
      </c>
      <c r="D10" t="str">
        <f>IF(Table1[[#This Row],[Age]]&lt;=4, "Toddler (0-4)",
IF(Table1[[#This Row],[Age]]&lt;=12, "Child (5-12)",
IF(Table1[[#This Row],[Age]]&lt;=19, "Adolescent (13-19)",
IF(Table1[[#This Row],[Age]]&lt;=35, "Young adult (20-35)",
IF(Table1[[#This Row],[Age]]&lt;=59, "Adult (36-59)", "Elderly (60-90)")))))</f>
        <v>Elderly (60-90)</v>
      </c>
      <c r="E10" t="s">
        <v>20</v>
      </c>
      <c r="F10">
        <v>3</v>
      </c>
      <c r="G10" t="str">
        <f>IF(Table1[[#This Row],[Admission_Days]]&lt;=5, "Immediate (1-5)",
IF(Table1[[#This Row],[Admission_Days]]&lt;=10, "Short-term (6-10)",
IF(Table1[[#This Row],[Admission_Days]]&lt;=15, "Medium-term (11-15)", "Long-term (16-20)")))</f>
        <v>Immediate (1-5)</v>
      </c>
      <c r="H10" t="s">
        <v>18</v>
      </c>
      <c r="I10">
        <v>0</v>
      </c>
      <c r="J10">
        <v>5</v>
      </c>
      <c r="K10" s="1">
        <v>0</v>
      </c>
      <c r="L10" t="str">
        <f>IF(Table1[[#This Row],[Surgery_Cost_NGN]]&gt;0, "Yes", "No")</f>
        <v>No</v>
      </c>
      <c r="M10" s="1">
        <v>41719</v>
      </c>
      <c r="N10" t="str">
        <f>IF(Table1[[#This Row],[Surgery_Cost_NGN]]&gt;Table1[[#This Row],[Bill_Amount_NGN]], "Anomaly detected", "Valid")</f>
        <v>Valid</v>
      </c>
      <c r="O10" s="1">
        <f t="shared" si="0"/>
        <v>0</v>
      </c>
    </row>
    <row r="11" spans="1:15" x14ac:dyDescent="0.35">
      <c r="A11" t="s">
        <v>73</v>
      </c>
      <c r="B11" t="s">
        <v>13</v>
      </c>
      <c r="C11">
        <v>55</v>
      </c>
      <c r="D11" t="str">
        <f>IF(Table1[[#This Row],[Age]]&lt;=4, "Toddler (0-4)",
IF(Table1[[#This Row],[Age]]&lt;=12, "Child (5-12)",
IF(Table1[[#This Row],[Age]]&lt;=19, "Adolescent (13-19)",
IF(Table1[[#This Row],[Age]]&lt;=35, "Young adult (20-35)",
IF(Table1[[#This Row],[Age]]&lt;=59, "Adult (36-59)", "Elderly (60-90)")))))</f>
        <v>Adult (36-59)</v>
      </c>
      <c r="E11" t="s">
        <v>14</v>
      </c>
      <c r="F11">
        <v>18</v>
      </c>
      <c r="G11" t="str">
        <f>IF(Table1[[#This Row],[Admission_Days]]&lt;=5, "Immediate (1-5)",
IF(Table1[[#This Row],[Admission_Days]]&lt;=10, "Short-term (6-10)",
IF(Table1[[#This Row],[Admission_Days]]&lt;=15, "Medium-term (11-15)", "Long-term (16-20)")))</f>
        <v>Long-term (16-20)</v>
      </c>
      <c r="H11" t="s">
        <v>12</v>
      </c>
      <c r="I11">
        <v>5</v>
      </c>
      <c r="J11">
        <v>2</v>
      </c>
      <c r="K11" s="1">
        <v>0</v>
      </c>
      <c r="L11" t="str">
        <f>IF(Table1[[#This Row],[Surgery_Cost_NGN]]&gt;0, "Yes", "No")</f>
        <v>No</v>
      </c>
      <c r="M11" s="1">
        <v>296372</v>
      </c>
      <c r="N11" t="str">
        <f>IF(Table1[[#This Row],[Surgery_Cost_NGN]]&gt;Table1[[#This Row],[Bill_Amount_NGN]], "Anomaly detected", "Valid")</f>
        <v>Valid</v>
      </c>
      <c r="O11" s="1">
        <f t="shared" si="0"/>
        <v>0</v>
      </c>
    </row>
    <row r="12" spans="1:15" x14ac:dyDescent="0.35">
      <c r="A12" t="s">
        <v>74</v>
      </c>
      <c r="B12" t="s">
        <v>10</v>
      </c>
      <c r="C12">
        <v>75</v>
      </c>
      <c r="D12" t="str">
        <f>IF(Table1[[#This Row],[Age]]&lt;=4, "Toddler (0-4)",
IF(Table1[[#This Row],[Age]]&lt;=12, "Child (5-12)",
IF(Table1[[#This Row],[Age]]&lt;=19, "Adolescent (13-19)",
IF(Table1[[#This Row],[Age]]&lt;=35, "Young adult (20-35)",
IF(Table1[[#This Row],[Age]]&lt;=59, "Adult (36-59)", "Elderly (60-90)")))))</f>
        <v>Elderly (60-90)</v>
      </c>
      <c r="E12" t="s">
        <v>19</v>
      </c>
      <c r="F12">
        <v>19</v>
      </c>
      <c r="G12" t="str">
        <f>IF(Table1[[#This Row],[Admission_Days]]&lt;=5, "Immediate (1-5)",
IF(Table1[[#This Row],[Admission_Days]]&lt;=10, "Short-term (6-10)",
IF(Table1[[#This Row],[Admission_Days]]&lt;=15, "Medium-term (11-15)", "Long-term (16-20)")))</f>
        <v>Long-term (16-20)</v>
      </c>
      <c r="H12" t="s">
        <v>17</v>
      </c>
      <c r="I12">
        <v>0</v>
      </c>
      <c r="J12">
        <v>8</v>
      </c>
      <c r="K12" s="1">
        <v>400000</v>
      </c>
      <c r="L12" t="str">
        <f>IF(Table1[[#This Row],[Surgery_Cost_NGN]]&gt;0, "Yes", "No")</f>
        <v>Yes</v>
      </c>
      <c r="M12" s="1">
        <v>600139</v>
      </c>
      <c r="N12" t="str">
        <f>IF(Table1[[#This Row],[Surgery_Cost_NGN]]&gt;Table1[[#This Row],[Bill_Amount_NGN]], "Anomaly detected", "Valid")</f>
        <v>Valid</v>
      </c>
      <c r="O12" s="1">
        <f t="shared" si="0"/>
        <v>66.651225799356482</v>
      </c>
    </row>
    <row r="13" spans="1:15" x14ac:dyDescent="0.35">
      <c r="A13" t="s">
        <v>75</v>
      </c>
      <c r="B13" t="s">
        <v>10</v>
      </c>
      <c r="C13">
        <v>56</v>
      </c>
      <c r="D13" t="str">
        <f>IF(Table1[[#This Row],[Age]]&lt;=4, "Toddler (0-4)",
IF(Table1[[#This Row],[Age]]&lt;=12, "Child (5-12)",
IF(Table1[[#This Row],[Age]]&lt;=19, "Adolescent (13-19)",
IF(Table1[[#This Row],[Age]]&lt;=35, "Young adult (20-35)",
IF(Table1[[#This Row],[Age]]&lt;=59, "Adult (36-59)", "Elderly (60-90)")))))</f>
        <v>Adult (36-59)</v>
      </c>
      <c r="E13" t="s">
        <v>11</v>
      </c>
      <c r="F13">
        <v>19</v>
      </c>
      <c r="G13" t="str">
        <f>IF(Table1[[#This Row],[Admission_Days]]&lt;=5, "Immediate (1-5)",
IF(Table1[[#This Row],[Admission_Days]]&lt;=10, "Short-term (6-10)",
IF(Table1[[#This Row],[Admission_Days]]&lt;=15, "Medium-term (11-15)", "Long-term (16-20)")))</f>
        <v>Long-term (16-20)</v>
      </c>
      <c r="H13" t="s">
        <v>12</v>
      </c>
      <c r="I13">
        <v>2</v>
      </c>
      <c r="J13">
        <v>8</v>
      </c>
      <c r="K13" s="1">
        <v>250000</v>
      </c>
      <c r="L13" t="str">
        <f>IF(Table1[[#This Row],[Surgery_Cost_NGN]]&gt;0, "Yes", "No")</f>
        <v>Yes</v>
      </c>
      <c r="M13" s="1">
        <v>503854</v>
      </c>
      <c r="N13" t="str">
        <f>IF(Table1[[#This Row],[Surgery_Cost_NGN]]&gt;Table1[[#This Row],[Bill_Amount_NGN]], "Anomaly detected", "Valid")</f>
        <v>Valid</v>
      </c>
      <c r="O13" s="1">
        <f t="shared" si="0"/>
        <v>49.617547940474822</v>
      </c>
    </row>
    <row r="14" spans="1:15" x14ac:dyDescent="0.35">
      <c r="A14" t="s">
        <v>76</v>
      </c>
      <c r="B14" t="s">
        <v>10</v>
      </c>
      <c r="C14">
        <v>17</v>
      </c>
      <c r="D14" t="str">
        <f>IF(Table1[[#This Row],[Age]]&lt;=4, "Toddler (0-4)",
IF(Table1[[#This Row],[Age]]&lt;=12, "Child (5-12)",
IF(Table1[[#This Row],[Age]]&lt;=19, "Adolescent (13-19)",
IF(Table1[[#This Row],[Age]]&lt;=35, "Young adult (20-35)",
IF(Table1[[#This Row],[Age]]&lt;=59, "Adult (36-59)", "Elderly (60-90)")))))</f>
        <v>Adolescent (13-19)</v>
      </c>
      <c r="E14" t="s">
        <v>16</v>
      </c>
      <c r="F14">
        <v>5</v>
      </c>
      <c r="G14" t="str">
        <f>IF(Table1[[#This Row],[Admission_Days]]&lt;=5, "Immediate (1-5)",
IF(Table1[[#This Row],[Admission_Days]]&lt;=10, "Short-term (6-10)",
IF(Table1[[#This Row],[Admission_Days]]&lt;=15, "Medium-term (11-15)", "Long-term (16-20)")))</f>
        <v>Immediate (1-5)</v>
      </c>
      <c r="H14" t="s">
        <v>12</v>
      </c>
      <c r="I14">
        <v>4</v>
      </c>
      <c r="J14">
        <v>1</v>
      </c>
      <c r="K14" s="1">
        <v>150000</v>
      </c>
      <c r="L14" t="str">
        <f>IF(Table1[[#This Row],[Surgery_Cost_NGN]]&gt;0, "Yes", "No")</f>
        <v>Yes</v>
      </c>
      <c r="M14" s="1">
        <v>275747</v>
      </c>
      <c r="N14" t="str">
        <f>IF(Table1[[#This Row],[Surgery_Cost_NGN]]&gt;Table1[[#This Row],[Bill_Amount_NGN]], "Anomaly detected", "Valid")</f>
        <v>Valid</v>
      </c>
      <c r="O14" s="1">
        <f t="shared" si="0"/>
        <v>54.397690636706841</v>
      </c>
    </row>
    <row r="15" spans="1:15" x14ac:dyDescent="0.35">
      <c r="A15" t="s">
        <v>77</v>
      </c>
      <c r="B15" t="s">
        <v>10</v>
      </c>
      <c r="C15">
        <v>38</v>
      </c>
      <c r="D15" t="str">
        <f>IF(Table1[[#This Row],[Age]]&lt;=4, "Toddler (0-4)",
IF(Table1[[#This Row],[Age]]&lt;=12, "Child (5-12)",
IF(Table1[[#This Row],[Age]]&lt;=19, "Adolescent (13-19)",
IF(Table1[[#This Row],[Age]]&lt;=35, "Young adult (20-35)",
IF(Table1[[#This Row],[Age]]&lt;=59, "Adult (36-59)", "Elderly (60-90)")))))</f>
        <v>Adult (36-59)</v>
      </c>
      <c r="E15" t="s">
        <v>16</v>
      </c>
      <c r="F15">
        <v>18</v>
      </c>
      <c r="G15" t="str">
        <f>IF(Table1[[#This Row],[Admission_Days]]&lt;=5, "Immediate (1-5)",
IF(Table1[[#This Row],[Admission_Days]]&lt;=10, "Short-term (6-10)",
IF(Table1[[#This Row],[Admission_Days]]&lt;=15, "Medium-term (11-15)", "Long-term (16-20)")))</f>
        <v>Long-term (16-20)</v>
      </c>
      <c r="H15" t="s">
        <v>15</v>
      </c>
      <c r="I15">
        <v>5</v>
      </c>
      <c r="J15">
        <v>8</v>
      </c>
      <c r="K15" s="1">
        <v>250000</v>
      </c>
      <c r="L15" t="str">
        <f>IF(Table1[[#This Row],[Surgery_Cost_NGN]]&gt;0, "Yes", "No")</f>
        <v>Yes</v>
      </c>
      <c r="M15" s="1">
        <v>503788</v>
      </c>
      <c r="N15" t="str">
        <f>IF(Table1[[#This Row],[Surgery_Cost_NGN]]&gt;Table1[[#This Row],[Bill_Amount_NGN]], "Anomaly detected", "Valid")</f>
        <v>Valid</v>
      </c>
      <c r="O15" s="1">
        <f t="shared" si="0"/>
        <v>49.624048210755319</v>
      </c>
    </row>
    <row r="16" spans="1:15" x14ac:dyDescent="0.35">
      <c r="A16" t="s">
        <v>78</v>
      </c>
      <c r="B16" t="s">
        <v>13</v>
      </c>
      <c r="C16">
        <v>24</v>
      </c>
      <c r="D16" t="str">
        <f>IF(Table1[[#This Row],[Age]]&lt;=4, "Toddler (0-4)",
IF(Table1[[#This Row],[Age]]&lt;=12, "Child (5-12)",
IF(Table1[[#This Row],[Age]]&lt;=19, "Adolescent (13-19)",
IF(Table1[[#This Row],[Age]]&lt;=35, "Young adult (20-35)",
IF(Table1[[#This Row],[Age]]&lt;=59, "Adult (36-59)", "Elderly (60-90)")))))</f>
        <v>Young adult (20-35)</v>
      </c>
      <c r="E16" t="s">
        <v>14</v>
      </c>
      <c r="F16">
        <v>10</v>
      </c>
      <c r="G16" t="str">
        <f>IF(Table1[[#This Row],[Admission_Days]]&lt;=5, "Immediate (1-5)",
IF(Table1[[#This Row],[Admission_Days]]&lt;=10, "Short-term (6-10)",
IF(Table1[[#This Row],[Admission_Days]]&lt;=15, "Medium-term (11-15)", "Long-term (16-20)")))</f>
        <v>Short-term (6-10)</v>
      </c>
      <c r="H16" t="s">
        <v>12</v>
      </c>
      <c r="I16">
        <v>5</v>
      </c>
      <c r="J16">
        <v>5</v>
      </c>
      <c r="K16" s="1">
        <v>150000</v>
      </c>
      <c r="L16" t="str">
        <f>IF(Table1[[#This Row],[Surgery_Cost_NGN]]&gt;0, "Yes", "No")</f>
        <v>Yes</v>
      </c>
      <c r="M16" s="1">
        <v>341125</v>
      </c>
      <c r="N16" t="str">
        <f>IF(Table1[[#This Row],[Surgery_Cost_NGN]]&gt;Table1[[#This Row],[Bill_Amount_NGN]], "Anomaly detected", "Valid")</f>
        <v>Valid</v>
      </c>
      <c r="O16" s="1">
        <f t="shared" si="0"/>
        <v>43.972150971051668</v>
      </c>
    </row>
    <row r="17" spans="1:15" x14ac:dyDescent="0.35">
      <c r="A17" t="s">
        <v>79</v>
      </c>
      <c r="B17" t="s">
        <v>10</v>
      </c>
      <c r="C17">
        <v>69</v>
      </c>
      <c r="D17" t="str">
        <f>IF(Table1[[#This Row],[Age]]&lt;=4, "Toddler (0-4)",
IF(Table1[[#This Row],[Age]]&lt;=12, "Child (5-12)",
IF(Table1[[#This Row],[Age]]&lt;=19, "Adolescent (13-19)",
IF(Table1[[#This Row],[Age]]&lt;=35, "Young adult (20-35)",
IF(Table1[[#This Row],[Age]]&lt;=59, "Adult (36-59)", "Elderly (60-90)")))))</f>
        <v>Elderly (60-90)</v>
      </c>
      <c r="E17" t="s">
        <v>20</v>
      </c>
      <c r="F17">
        <v>6</v>
      </c>
      <c r="G17" t="str">
        <f>IF(Table1[[#This Row],[Admission_Days]]&lt;=5, "Immediate (1-5)",
IF(Table1[[#This Row],[Admission_Days]]&lt;=10, "Short-term (6-10)",
IF(Table1[[#This Row],[Admission_Days]]&lt;=15, "Medium-term (11-15)", "Long-term (16-20)")))</f>
        <v>Short-term (6-10)</v>
      </c>
      <c r="H17" t="s">
        <v>12</v>
      </c>
      <c r="I17">
        <v>1</v>
      </c>
      <c r="J17">
        <v>2</v>
      </c>
      <c r="K17" s="1">
        <v>400000</v>
      </c>
      <c r="L17" t="str">
        <f>IF(Table1[[#This Row],[Surgery_Cost_NGN]]&gt;0, "Yes", "No")</f>
        <v>Yes</v>
      </c>
      <c r="M17" s="1">
        <v>491405</v>
      </c>
      <c r="N17" t="str">
        <f>IF(Table1[[#This Row],[Surgery_Cost_NGN]]&gt;Table1[[#This Row],[Bill_Amount_NGN]], "Anomaly detected", "Valid")</f>
        <v>Valid</v>
      </c>
      <c r="O17" s="1">
        <f t="shared" si="0"/>
        <v>81.399253161852243</v>
      </c>
    </row>
    <row r="18" spans="1:15" x14ac:dyDescent="0.35">
      <c r="A18" t="s">
        <v>80</v>
      </c>
      <c r="B18" t="s">
        <v>13</v>
      </c>
      <c r="C18">
        <v>70</v>
      </c>
      <c r="D18" t="str">
        <f>IF(Table1[[#This Row],[Age]]&lt;=4, "Toddler (0-4)",
IF(Table1[[#This Row],[Age]]&lt;=12, "Child (5-12)",
IF(Table1[[#This Row],[Age]]&lt;=19, "Adolescent (13-19)",
IF(Table1[[#This Row],[Age]]&lt;=35, "Young adult (20-35)",
IF(Table1[[#This Row],[Age]]&lt;=59, "Adult (36-59)", "Elderly (60-90)")))))</f>
        <v>Elderly (60-90)</v>
      </c>
      <c r="E18" t="s">
        <v>20</v>
      </c>
      <c r="F18">
        <v>1</v>
      </c>
      <c r="G18" t="str">
        <f>IF(Table1[[#This Row],[Admission_Days]]&lt;=5, "Immediate (1-5)",
IF(Table1[[#This Row],[Admission_Days]]&lt;=10, "Short-term (6-10)",
IF(Table1[[#This Row],[Admission_Days]]&lt;=15, "Medium-term (11-15)", "Long-term (16-20)")))</f>
        <v>Immediate (1-5)</v>
      </c>
      <c r="H18" t="s">
        <v>17</v>
      </c>
      <c r="I18">
        <v>3</v>
      </c>
      <c r="J18">
        <v>2</v>
      </c>
      <c r="K18" s="1">
        <v>0</v>
      </c>
      <c r="L18" t="str">
        <f>IF(Table1[[#This Row],[Surgery_Cost_NGN]]&gt;0, "Yes", "No")</f>
        <v>No</v>
      </c>
      <c r="M18" s="1">
        <v>49321</v>
      </c>
      <c r="N18" t="str">
        <f>IF(Table1[[#This Row],[Surgery_Cost_NGN]]&gt;Table1[[#This Row],[Bill_Amount_NGN]], "Anomaly detected", "Valid")</f>
        <v>Valid</v>
      </c>
      <c r="O18" s="1">
        <f t="shared" si="0"/>
        <v>0</v>
      </c>
    </row>
    <row r="19" spans="1:15" x14ac:dyDescent="0.35">
      <c r="A19" t="s">
        <v>81</v>
      </c>
      <c r="B19" t="s">
        <v>13</v>
      </c>
      <c r="C19">
        <v>11</v>
      </c>
      <c r="D19" t="str">
        <f>IF(Table1[[#This Row],[Age]]&lt;=4, "Toddler (0-4)",
IF(Table1[[#This Row],[Age]]&lt;=12, "Child (5-12)",
IF(Table1[[#This Row],[Age]]&lt;=19, "Adolescent (13-19)",
IF(Table1[[#This Row],[Age]]&lt;=35, "Young adult (20-35)",
IF(Table1[[#This Row],[Age]]&lt;=59, "Adult (36-59)", "Elderly (60-90)")))))</f>
        <v>Child (5-12)</v>
      </c>
      <c r="E19" t="s">
        <v>11</v>
      </c>
      <c r="F19">
        <v>5</v>
      </c>
      <c r="G19" t="str">
        <f>IF(Table1[[#This Row],[Admission_Days]]&lt;=5, "Immediate (1-5)",
IF(Table1[[#This Row],[Admission_Days]]&lt;=10, "Short-term (6-10)",
IF(Table1[[#This Row],[Admission_Days]]&lt;=15, "Medium-term (11-15)", "Long-term (16-20)")))</f>
        <v>Immediate (1-5)</v>
      </c>
      <c r="H19" t="s">
        <v>15</v>
      </c>
      <c r="I19">
        <v>1</v>
      </c>
      <c r="J19">
        <v>6</v>
      </c>
      <c r="K19" s="1">
        <v>250000</v>
      </c>
      <c r="L19" t="str">
        <f>IF(Table1[[#This Row],[Surgery_Cost_NGN]]&gt;0, "Yes", "No")</f>
        <v>Yes</v>
      </c>
      <c r="M19" s="1">
        <v>361968</v>
      </c>
      <c r="N19" t="str">
        <f>IF(Table1[[#This Row],[Surgery_Cost_NGN]]&gt;Table1[[#This Row],[Bill_Amount_NGN]], "Anomaly detected", "Valid")</f>
        <v>Valid</v>
      </c>
      <c r="O19" s="1">
        <f t="shared" si="0"/>
        <v>69.066878840118463</v>
      </c>
    </row>
    <row r="20" spans="1:15" x14ac:dyDescent="0.35">
      <c r="A20" t="s">
        <v>82</v>
      </c>
      <c r="B20" t="s">
        <v>13</v>
      </c>
      <c r="C20">
        <v>16</v>
      </c>
      <c r="D20" t="str">
        <f>IF(Table1[[#This Row],[Age]]&lt;=4, "Toddler (0-4)",
IF(Table1[[#This Row],[Age]]&lt;=12, "Child (5-12)",
IF(Table1[[#This Row],[Age]]&lt;=19, "Adolescent (13-19)",
IF(Table1[[#This Row],[Age]]&lt;=35, "Young adult (20-35)",
IF(Table1[[#This Row],[Age]]&lt;=59, "Adult (36-59)", "Elderly (60-90)")))))</f>
        <v>Adolescent (13-19)</v>
      </c>
      <c r="E20" t="s">
        <v>14</v>
      </c>
      <c r="F20">
        <v>9</v>
      </c>
      <c r="G20" t="str">
        <f>IF(Table1[[#This Row],[Admission_Days]]&lt;=5, "Immediate (1-5)",
IF(Table1[[#This Row],[Admission_Days]]&lt;=10, "Short-term (6-10)",
IF(Table1[[#This Row],[Admission_Days]]&lt;=15, "Medium-term (11-15)", "Long-term (16-20)")))</f>
        <v>Short-term (6-10)</v>
      </c>
      <c r="H20" t="s">
        <v>21</v>
      </c>
      <c r="I20">
        <v>5</v>
      </c>
      <c r="J20">
        <v>9</v>
      </c>
      <c r="K20" s="1">
        <v>600000</v>
      </c>
      <c r="L20" t="str">
        <f>IF(Table1[[#This Row],[Surgery_Cost_NGN]]&gt;0, "Yes", "No")</f>
        <v>Yes</v>
      </c>
      <c r="M20" s="1">
        <v>804341</v>
      </c>
      <c r="N20" t="str">
        <f>IF(Table1[[#This Row],[Surgery_Cost_NGN]]&gt;Table1[[#This Row],[Bill_Amount_NGN]], "Anomaly detected", "Valid")</f>
        <v>Valid</v>
      </c>
      <c r="O20" s="1">
        <f t="shared" si="0"/>
        <v>74.595227645985972</v>
      </c>
    </row>
    <row r="21" spans="1:15" x14ac:dyDescent="0.35">
      <c r="A21" t="s">
        <v>83</v>
      </c>
      <c r="B21" t="s">
        <v>10</v>
      </c>
      <c r="C21">
        <v>73</v>
      </c>
      <c r="D21" t="str">
        <f>IF(Table1[[#This Row],[Age]]&lt;=4, "Toddler (0-4)",
IF(Table1[[#This Row],[Age]]&lt;=12, "Child (5-12)",
IF(Table1[[#This Row],[Age]]&lt;=19, "Adolescent (13-19)",
IF(Table1[[#This Row],[Age]]&lt;=35, "Young adult (20-35)",
IF(Table1[[#This Row],[Age]]&lt;=59, "Adult (36-59)", "Elderly (60-90)")))))</f>
        <v>Elderly (60-90)</v>
      </c>
      <c r="E21" t="s">
        <v>16</v>
      </c>
      <c r="F21">
        <v>12</v>
      </c>
      <c r="G21" t="str">
        <f>IF(Table1[[#This Row],[Admission_Days]]&lt;=5, "Immediate (1-5)",
IF(Table1[[#This Row],[Admission_Days]]&lt;=10, "Short-term (6-10)",
IF(Table1[[#This Row],[Admission_Days]]&lt;=15, "Medium-term (11-15)", "Long-term (16-20)")))</f>
        <v>Medium-term (11-15)</v>
      </c>
      <c r="H21" t="s">
        <v>17</v>
      </c>
      <c r="I21">
        <v>4</v>
      </c>
      <c r="J21">
        <v>1</v>
      </c>
      <c r="K21" s="1">
        <v>150000</v>
      </c>
      <c r="L21" t="str">
        <f>IF(Table1[[#This Row],[Surgery_Cost_NGN]]&gt;0, "Yes", "No")</f>
        <v>Yes</v>
      </c>
      <c r="M21" s="1">
        <v>272796</v>
      </c>
      <c r="N21" t="str">
        <f>IF(Table1[[#This Row],[Surgery_Cost_NGN]]&gt;Table1[[#This Row],[Bill_Amount_NGN]], "Anomaly detected", "Valid")</f>
        <v>Valid</v>
      </c>
      <c r="O21" s="1">
        <f t="shared" si="0"/>
        <v>54.986143491840053</v>
      </c>
    </row>
    <row r="22" spans="1:15" x14ac:dyDescent="0.35">
      <c r="A22" t="s">
        <v>84</v>
      </c>
      <c r="B22" t="s">
        <v>13</v>
      </c>
      <c r="C22">
        <v>59</v>
      </c>
      <c r="D22" t="str">
        <f>IF(Table1[[#This Row],[Age]]&lt;=4, "Toddler (0-4)",
IF(Table1[[#This Row],[Age]]&lt;=12, "Child (5-12)",
IF(Table1[[#This Row],[Age]]&lt;=19, "Adolescent (13-19)",
IF(Table1[[#This Row],[Age]]&lt;=35, "Young adult (20-35)",
IF(Table1[[#This Row],[Age]]&lt;=59, "Adult (36-59)", "Elderly (60-90)")))))</f>
        <v>Adult (36-59)</v>
      </c>
      <c r="E22" t="s">
        <v>20</v>
      </c>
      <c r="F22">
        <v>14</v>
      </c>
      <c r="G22" t="str">
        <f>IF(Table1[[#This Row],[Admission_Days]]&lt;=5, "Immediate (1-5)",
IF(Table1[[#This Row],[Admission_Days]]&lt;=10, "Short-term (6-10)",
IF(Table1[[#This Row],[Admission_Days]]&lt;=15, "Medium-term (11-15)", "Long-term (16-20)")))</f>
        <v>Medium-term (11-15)</v>
      </c>
      <c r="H22" t="s">
        <v>17</v>
      </c>
      <c r="I22">
        <v>0</v>
      </c>
      <c r="J22">
        <v>6</v>
      </c>
      <c r="K22" s="1">
        <v>0</v>
      </c>
      <c r="L22" t="str">
        <f>IF(Table1[[#This Row],[Surgery_Cost_NGN]]&gt;0, "Yes", "No")</f>
        <v>No</v>
      </c>
      <c r="M22" s="1">
        <v>210758</v>
      </c>
      <c r="N22" t="str">
        <f>IF(Table1[[#This Row],[Surgery_Cost_NGN]]&gt;Table1[[#This Row],[Bill_Amount_NGN]], "Anomaly detected", "Valid")</f>
        <v>Valid</v>
      </c>
      <c r="O22" s="1">
        <f t="shared" si="0"/>
        <v>0</v>
      </c>
    </row>
    <row r="23" spans="1:15" x14ac:dyDescent="0.35">
      <c r="A23" t="s">
        <v>85</v>
      </c>
      <c r="B23" t="s">
        <v>10</v>
      </c>
      <c r="C23">
        <v>70</v>
      </c>
      <c r="D23" t="str">
        <f>IF(Table1[[#This Row],[Age]]&lt;=4, "Toddler (0-4)",
IF(Table1[[#This Row],[Age]]&lt;=12, "Child (5-12)",
IF(Table1[[#This Row],[Age]]&lt;=19, "Adolescent (13-19)",
IF(Table1[[#This Row],[Age]]&lt;=35, "Young adult (20-35)",
IF(Table1[[#This Row],[Age]]&lt;=59, "Adult (36-59)", "Elderly (60-90)")))))</f>
        <v>Elderly (60-90)</v>
      </c>
      <c r="E23" t="s">
        <v>14</v>
      </c>
      <c r="F23">
        <v>2</v>
      </c>
      <c r="G23" t="str">
        <f>IF(Table1[[#This Row],[Admission_Days]]&lt;=5, "Immediate (1-5)",
IF(Table1[[#This Row],[Admission_Days]]&lt;=10, "Short-term (6-10)",
IF(Table1[[#This Row],[Admission_Days]]&lt;=15, "Medium-term (11-15)", "Long-term (16-20)")))</f>
        <v>Immediate (1-5)</v>
      </c>
      <c r="H23" t="s">
        <v>21</v>
      </c>
      <c r="I23">
        <v>0</v>
      </c>
      <c r="J23">
        <v>9</v>
      </c>
      <c r="K23" s="1">
        <v>0</v>
      </c>
      <c r="L23" t="str">
        <f>IF(Table1[[#This Row],[Surgery_Cost_NGN]]&gt;0, "Yes", "No")</f>
        <v>No</v>
      </c>
      <c r="M23" s="1">
        <v>103939</v>
      </c>
      <c r="N23" t="str">
        <f>IF(Table1[[#This Row],[Surgery_Cost_NGN]]&gt;Table1[[#This Row],[Bill_Amount_NGN]], "Anomaly detected", "Valid")</f>
        <v>Valid</v>
      </c>
      <c r="O23" s="1">
        <f t="shared" si="0"/>
        <v>0</v>
      </c>
    </row>
    <row r="24" spans="1:15" x14ac:dyDescent="0.35">
      <c r="A24" t="s">
        <v>86</v>
      </c>
      <c r="B24" t="s">
        <v>13</v>
      </c>
      <c r="C24">
        <v>80</v>
      </c>
      <c r="D24" t="str">
        <f>IF(Table1[[#This Row],[Age]]&lt;=4, "Toddler (0-4)",
IF(Table1[[#This Row],[Age]]&lt;=12, "Child (5-12)",
IF(Table1[[#This Row],[Age]]&lt;=19, "Adolescent (13-19)",
IF(Table1[[#This Row],[Age]]&lt;=35, "Young adult (20-35)",
IF(Table1[[#This Row],[Age]]&lt;=59, "Adult (36-59)", "Elderly (60-90)")))))</f>
        <v>Elderly (60-90)</v>
      </c>
      <c r="E24" t="s">
        <v>20</v>
      </c>
      <c r="F24">
        <v>17</v>
      </c>
      <c r="G24" t="str">
        <f>IF(Table1[[#This Row],[Admission_Days]]&lt;=5, "Immediate (1-5)",
IF(Table1[[#This Row],[Admission_Days]]&lt;=10, "Short-term (6-10)",
IF(Table1[[#This Row],[Admission_Days]]&lt;=15, "Medium-term (11-15)", "Long-term (16-20)")))</f>
        <v>Long-term (16-20)</v>
      </c>
      <c r="H24" t="s">
        <v>12</v>
      </c>
      <c r="I24">
        <v>4</v>
      </c>
      <c r="J24">
        <v>8</v>
      </c>
      <c r="K24" s="1">
        <v>150000</v>
      </c>
      <c r="L24" t="str">
        <f>IF(Table1[[#This Row],[Surgery_Cost_NGN]]&gt;0, "Yes", "No")</f>
        <v>Yes</v>
      </c>
      <c r="M24" s="1">
        <v>443563</v>
      </c>
      <c r="N24" t="str">
        <f>IF(Table1[[#This Row],[Surgery_Cost_NGN]]&gt;Table1[[#This Row],[Bill_Amount_NGN]], "Anomaly detected", "Valid")</f>
        <v>Valid</v>
      </c>
      <c r="O24" s="1">
        <f t="shared" si="0"/>
        <v>33.817067699515064</v>
      </c>
    </row>
    <row r="25" spans="1:15" x14ac:dyDescent="0.35">
      <c r="A25" t="s">
        <v>87</v>
      </c>
      <c r="B25" t="s">
        <v>13</v>
      </c>
      <c r="C25">
        <v>3</v>
      </c>
      <c r="D25" t="str">
        <f>IF(Table1[[#This Row],[Age]]&lt;=4, "Toddler (0-4)",
IF(Table1[[#This Row],[Age]]&lt;=12, "Child (5-12)",
IF(Table1[[#This Row],[Age]]&lt;=19, "Adolescent (13-19)",
IF(Table1[[#This Row],[Age]]&lt;=35, "Young adult (20-35)",
IF(Table1[[#This Row],[Age]]&lt;=59, "Adult (36-59)", "Elderly (60-90)")))))</f>
        <v>Toddler (0-4)</v>
      </c>
      <c r="E25" t="s">
        <v>19</v>
      </c>
      <c r="F25">
        <v>14</v>
      </c>
      <c r="G25" t="str">
        <f>IF(Table1[[#This Row],[Admission_Days]]&lt;=5, "Immediate (1-5)",
IF(Table1[[#This Row],[Admission_Days]]&lt;=10, "Short-term (6-10)",
IF(Table1[[#This Row],[Admission_Days]]&lt;=15, "Medium-term (11-15)", "Long-term (16-20)")))</f>
        <v>Medium-term (11-15)</v>
      </c>
      <c r="H25" t="s">
        <v>18</v>
      </c>
      <c r="I25">
        <v>5</v>
      </c>
      <c r="J25">
        <v>6</v>
      </c>
      <c r="K25" s="1">
        <v>400000</v>
      </c>
      <c r="L25" t="str">
        <f>IF(Table1[[#This Row],[Surgery_Cost_NGN]]&gt;0, "Yes", "No")</f>
        <v>Yes</v>
      </c>
      <c r="M25" s="1">
        <v>585465</v>
      </c>
      <c r="N25" t="str">
        <f>IF(Table1[[#This Row],[Surgery_Cost_NGN]]&gt;Table1[[#This Row],[Bill_Amount_NGN]], "Anomaly detected", "Valid")</f>
        <v>Valid</v>
      </c>
      <c r="O25" s="1">
        <f t="shared" si="0"/>
        <v>68.32176133500721</v>
      </c>
    </row>
    <row r="26" spans="1:15" x14ac:dyDescent="0.35">
      <c r="A26" t="s">
        <v>88</v>
      </c>
      <c r="B26" t="s">
        <v>13</v>
      </c>
      <c r="C26">
        <v>20</v>
      </c>
      <c r="D26" t="str">
        <f>IF(Table1[[#This Row],[Age]]&lt;=4, "Toddler (0-4)",
IF(Table1[[#This Row],[Age]]&lt;=12, "Child (5-12)",
IF(Table1[[#This Row],[Age]]&lt;=19, "Adolescent (13-19)",
IF(Table1[[#This Row],[Age]]&lt;=35, "Young adult (20-35)",
IF(Table1[[#This Row],[Age]]&lt;=59, "Adult (36-59)", "Elderly (60-90)")))))</f>
        <v>Young adult (20-35)</v>
      </c>
      <c r="E26" t="s">
        <v>20</v>
      </c>
      <c r="F26">
        <v>13</v>
      </c>
      <c r="G26" t="str">
        <f>IF(Table1[[#This Row],[Admission_Days]]&lt;=5, "Immediate (1-5)",
IF(Table1[[#This Row],[Admission_Days]]&lt;=10, "Short-term (6-10)",
IF(Table1[[#This Row],[Admission_Days]]&lt;=15, "Medium-term (11-15)", "Long-term (16-20)")))</f>
        <v>Medium-term (11-15)</v>
      </c>
      <c r="H26" t="s">
        <v>15</v>
      </c>
      <c r="I26">
        <v>0</v>
      </c>
      <c r="J26">
        <v>3</v>
      </c>
      <c r="K26" s="1">
        <v>0</v>
      </c>
      <c r="L26" t="str">
        <f>IF(Table1[[#This Row],[Surgery_Cost_NGN]]&gt;0, "Yes", "No")</f>
        <v>No</v>
      </c>
      <c r="M26" s="1">
        <v>112137</v>
      </c>
      <c r="N26" t="str">
        <f>IF(Table1[[#This Row],[Surgery_Cost_NGN]]&gt;Table1[[#This Row],[Bill_Amount_NGN]], "Anomaly detected", "Valid")</f>
        <v>Valid</v>
      </c>
      <c r="O26" s="1">
        <f t="shared" si="0"/>
        <v>0</v>
      </c>
    </row>
    <row r="27" spans="1:15" x14ac:dyDescent="0.35">
      <c r="A27" t="s">
        <v>89</v>
      </c>
      <c r="B27" t="s">
        <v>13</v>
      </c>
      <c r="C27">
        <v>59</v>
      </c>
      <c r="D27" t="str">
        <f>IF(Table1[[#This Row],[Age]]&lt;=4, "Toddler (0-4)",
IF(Table1[[#This Row],[Age]]&lt;=12, "Child (5-12)",
IF(Table1[[#This Row],[Age]]&lt;=19, "Adolescent (13-19)",
IF(Table1[[#This Row],[Age]]&lt;=35, "Young adult (20-35)",
IF(Table1[[#This Row],[Age]]&lt;=59, "Adult (36-59)", "Elderly (60-90)")))))</f>
        <v>Adult (36-59)</v>
      </c>
      <c r="E27" t="s">
        <v>16</v>
      </c>
      <c r="F27">
        <v>9</v>
      </c>
      <c r="G27" t="str">
        <f>IF(Table1[[#This Row],[Admission_Days]]&lt;=5, "Immediate (1-5)",
IF(Table1[[#This Row],[Admission_Days]]&lt;=10, "Short-term (6-10)",
IF(Table1[[#This Row],[Admission_Days]]&lt;=15, "Medium-term (11-15)", "Long-term (16-20)")))</f>
        <v>Short-term (6-10)</v>
      </c>
      <c r="H27" t="s">
        <v>18</v>
      </c>
      <c r="I27">
        <v>0</v>
      </c>
      <c r="J27">
        <v>8</v>
      </c>
      <c r="K27" s="1">
        <v>0</v>
      </c>
      <c r="L27" t="str">
        <f>IF(Table1[[#This Row],[Surgery_Cost_NGN]]&gt;0, "Yes", "No")</f>
        <v>No</v>
      </c>
      <c r="M27" s="1">
        <v>121028</v>
      </c>
      <c r="N27" t="str">
        <f>IF(Table1[[#This Row],[Surgery_Cost_NGN]]&gt;Table1[[#This Row],[Bill_Amount_NGN]], "Anomaly detected", "Valid")</f>
        <v>Valid</v>
      </c>
      <c r="O27" s="1">
        <f t="shared" si="0"/>
        <v>0</v>
      </c>
    </row>
    <row r="28" spans="1:15" x14ac:dyDescent="0.35">
      <c r="A28" t="s">
        <v>90</v>
      </c>
      <c r="B28" t="s">
        <v>13</v>
      </c>
      <c r="C28">
        <v>36</v>
      </c>
      <c r="D28" t="str">
        <f>IF(Table1[[#This Row],[Age]]&lt;=4, "Toddler (0-4)",
IF(Table1[[#This Row],[Age]]&lt;=12, "Child (5-12)",
IF(Table1[[#This Row],[Age]]&lt;=19, "Adolescent (13-19)",
IF(Table1[[#This Row],[Age]]&lt;=35, "Young adult (20-35)",
IF(Table1[[#This Row],[Age]]&lt;=59, "Adult (36-59)", "Elderly (60-90)")))))</f>
        <v>Adult (36-59)</v>
      </c>
      <c r="E28" t="s">
        <v>22</v>
      </c>
      <c r="F28">
        <v>15</v>
      </c>
      <c r="G28" t="str">
        <f>IF(Table1[[#This Row],[Admission_Days]]&lt;=5, "Immediate (1-5)",
IF(Table1[[#This Row],[Admission_Days]]&lt;=10, "Short-term (6-10)",
IF(Table1[[#This Row],[Admission_Days]]&lt;=15, "Medium-term (11-15)", "Long-term (16-20)")))</f>
        <v>Medium-term (11-15)</v>
      </c>
      <c r="H28" t="s">
        <v>21</v>
      </c>
      <c r="I28">
        <v>0</v>
      </c>
      <c r="J28">
        <v>9</v>
      </c>
      <c r="K28" s="1">
        <v>0</v>
      </c>
      <c r="L28" t="str">
        <f>IF(Table1[[#This Row],[Surgery_Cost_NGN]]&gt;0, "Yes", "No")</f>
        <v>No</v>
      </c>
      <c r="M28" s="1">
        <v>173742</v>
      </c>
      <c r="N28" t="str">
        <f>IF(Table1[[#This Row],[Surgery_Cost_NGN]]&gt;Table1[[#This Row],[Bill_Amount_NGN]], "Anomaly detected", "Valid")</f>
        <v>Valid</v>
      </c>
      <c r="O28" s="1">
        <f t="shared" si="0"/>
        <v>0</v>
      </c>
    </row>
    <row r="29" spans="1:15" x14ac:dyDescent="0.35">
      <c r="A29" t="s">
        <v>91</v>
      </c>
      <c r="B29" t="s">
        <v>13</v>
      </c>
      <c r="C29">
        <v>19</v>
      </c>
      <c r="D29" t="str">
        <f>IF(Table1[[#This Row],[Age]]&lt;=4, "Toddler (0-4)",
IF(Table1[[#This Row],[Age]]&lt;=12, "Child (5-12)",
IF(Table1[[#This Row],[Age]]&lt;=19, "Adolescent (13-19)",
IF(Table1[[#This Row],[Age]]&lt;=35, "Young adult (20-35)",
IF(Table1[[#This Row],[Age]]&lt;=59, "Adult (36-59)", "Elderly (60-90)")))))</f>
        <v>Adolescent (13-19)</v>
      </c>
      <c r="E29" t="s">
        <v>11</v>
      </c>
      <c r="F29">
        <v>15</v>
      </c>
      <c r="G29" t="str">
        <f>IF(Table1[[#This Row],[Admission_Days]]&lt;=5, "Immediate (1-5)",
IF(Table1[[#This Row],[Admission_Days]]&lt;=10, "Short-term (6-10)",
IF(Table1[[#This Row],[Admission_Days]]&lt;=15, "Medium-term (11-15)", "Long-term (16-20)")))</f>
        <v>Medium-term (11-15)</v>
      </c>
      <c r="H29" t="s">
        <v>17</v>
      </c>
      <c r="I29">
        <v>3</v>
      </c>
      <c r="J29">
        <v>1</v>
      </c>
      <c r="K29" s="1">
        <v>250000</v>
      </c>
      <c r="L29" t="str">
        <f>IF(Table1[[#This Row],[Surgery_Cost_NGN]]&gt;0, "Yes", "No")</f>
        <v>Yes</v>
      </c>
      <c r="M29" s="1">
        <v>436474</v>
      </c>
      <c r="N29" t="str">
        <f>IF(Table1[[#This Row],[Surgery_Cost_NGN]]&gt;Table1[[#This Row],[Bill_Amount_NGN]], "Anomaly detected", "Valid")</f>
        <v>Valid</v>
      </c>
      <c r="O29" s="1">
        <f t="shared" si="0"/>
        <v>57.277180313145806</v>
      </c>
    </row>
    <row r="30" spans="1:15" x14ac:dyDescent="0.35">
      <c r="A30" t="s">
        <v>92</v>
      </c>
      <c r="B30" t="s">
        <v>13</v>
      </c>
      <c r="C30">
        <v>67</v>
      </c>
      <c r="D30" t="str">
        <f>IF(Table1[[#This Row],[Age]]&lt;=4, "Toddler (0-4)",
IF(Table1[[#This Row],[Age]]&lt;=12, "Child (5-12)",
IF(Table1[[#This Row],[Age]]&lt;=19, "Adolescent (13-19)",
IF(Table1[[#This Row],[Age]]&lt;=35, "Young adult (20-35)",
IF(Table1[[#This Row],[Age]]&lt;=59, "Adult (36-59)", "Elderly (60-90)")))))</f>
        <v>Elderly (60-90)</v>
      </c>
      <c r="E30" t="s">
        <v>11</v>
      </c>
      <c r="F30">
        <v>11</v>
      </c>
      <c r="G30" t="str">
        <f>IF(Table1[[#This Row],[Admission_Days]]&lt;=5, "Immediate (1-5)",
IF(Table1[[#This Row],[Admission_Days]]&lt;=10, "Short-term (6-10)",
IF(Table1[[#This Row],[Admission_Days]]&lt;=15, "Medium-term (11-15)", "Long-term (16-20)")))</f>
        <v>Medium-term (11-15)</v>
      </c>
      <c r="H30" t="s">
        <v>17</v>
      </c>
      <c r="I30">
        <v>3</v>
      </c>
      <c r="J30">
        <v>9</v>
      </c>
      <c r="K30" s="1">
        <v>150000</v>
      </c>
      <c r="L30" t="str">
        <f>IF(Table1[[#This Row],[Surgery_Cost_NGN]]&gt;0, "Yes", "No")</f>
        <v>Yes</v>
      </c>
      <c r="M30" s="1">
        <v>388422</v>
      </c>
      <c r="N30" t="str">
        <f>IF(Table1[[#This Row],[Surgery_Cost_NGN]]&gt;Table1[[#This Row],[Bill_Amount_NGN]], "Anomaly detected", "Valid")</f>
        <v>Valid</v>
      </c>
      <c r="O30" s="1">
        <f t="shared" si="0"/>
        <v>38.61779198912523</v>
      </c>
    </row>
    <row r="31" spans="1:15" x14ac:dyDescent="0.35">
      <c r="A31" t="s">
        <v>93</v>
      </c>
      <c r="B31" t="s">
        <v>13</v>
      </c>
      <c r="C31">
        <v>19</v>
      </c>
      <c r="D31" t="str">
        <f>IF(Table1[[#This Row],[Age]]&lt;=4, "Toddler (0-4)",
IF(Table1[[#This Row],[Age]]&lt;=12, "Child (5-12)",
IF(Table1[[#This Row],[Age]]&lt;=19, "Adolescent (13-19)",
IF(Table1[[#This Row],[Age]]&lt;=35, "Young adult (20-35)",
IF(Table1[[#This Row],[Age]]&lt;=59, "Adult (36-59)", "Elderly (60-90)")))))</f>
        <v>Adolescent (13-19)</v>
      </c>
      <c r="E31" t="s">
        <v>16</v>
      </c>
      <c r="F31">
        <v>16</v>
      </c>
      <c r="G31" t="str">
        <f>IF(Table1[[#This Row],[Admission_Days]]&lt;=5, "Immediate (1-5)",
IF(Table1[[#This Row],[Admission_Days]]&lt;=10, "Short-term (6-10)",
IF(Table1[[#This Row],[Admission_Days]]&lt;=15, "Medium-term (11-15)", "Long-term (16-20)")))</f>
        <v>Long-term (16-20)</v>
      </c>
      <c r="H31" t="s">
        <v>15</v>
      </c>
      <c r="I31">
        <v>2</v>
      </c>
      <c r="J31">
        <v>6</v>
      </c>
      <c r="K31" s="1">
        <v>0</v>
      </c>
      <c r="L31" t="str">
        <f>IF(Table1[[#This Row],[Surgery_Cost_NGN]]&gt;0, "Yes", "No")</f>
        <v>No</v>
      </c>
      <c r="M31" s="1">
        <v>257194</v>
      </c>
      <c r="N31" t="str">
        <f>IF(Table1[[#This Row],[Surgery_Cost_NGN]]&gt;Table1[[#This Row],[Bill_Amount_NGN]], "Anomaly detected", "Valid")</f>
        <v>Valid</v>
      </c>
      <c r="O31" s="1">
        <f t="shared" si="0"/>
        <v>0</v>
      </c>
    </row>
    <row r="32" spans="1:15" x14ac:dyDescent="0.35">
      <c r="A32" t="s">
        <v>94</v>
      </c>
      <c r="B32" t="s">
        <v>10</v>
      </c>
      <c r="C32">
        <v>20</v>
      </c>
      <c r="D32" t="str">
        <f>IF(Table1[[#This Row],[Age]]&lt;=4, "Toddler (0-4)",
IF(Table1[[#This Row],[Age]]&lt;=12, "Child (5-12)",
IF(Table1[[#This Row],[Age]]&lt;=19, "Adolescent (13-19)",
IF(Table1[[#This Row],[Age]]&lt;=35, "Young adult (20-35)",
IF(Table1[[#This Row],[Age]]&lt;=59, "Adult (36-59)", "Elderly (60-90)")))))</f>
        <v>Young adult (20-35)</v>
      </c>
      <c r="E32" t="s">
        <v>20</v>
      </c>
      <c r="F32">
        <v>17</v>
      </c>
      <c r="G32" t="str">
        <f>IF(Table1[[#This Row],[Admission_Days]]&lt;=5, "Immediate (1-5)",
IF(Table1[[#This Row],[Admission_Days]]&lt;=10, "Short-term (6-10)",
IF(Table1[[#This Row],[Admission_Days]]&lt;=15, "Medium-term (11-15)", "Long-term (16-20)")))</f>
        <v>Long-term (16-20)</v>
      </c>
      <c r="H32" t="s">
        <v>17</v>
      </c>
      <c r="I32">
        <v>1</v>
      </c>
      <c r="J32">
        <v>6</v>
      </c>
      <c r="K32" s="1">
        <v>0</v>
      </c>
      <c r="L32" t="str">
        <f>IF(Table1[[#This Row],[Surgery_Cost_NGN]]&gt;0, "Yes", "No")</f>
        <v>No</v>
      </c>
      <c r="M32" s="1">
        <v>247742</v>
      </c>
      <c r="N32" t="str">
        <f>IF(Table1[[#This Row],[Surgery_Cost_NGN]]&gt;Table1[[#This Row],[Bill_Amount_NGN]], "Anomaly detected", "Valid")</f>
        <v>Valid</v>
      </c>
      <c r="O32" s="1">
        <f t="shared" si="0"/>
        <v>0</v>
      </c>
    </row>
    <row r="33" spans="1:15" x14ac:dyDescent="0.35">
      <c r="A33" t="s">
        <v>95</v>
      </c>
      <c r="B33" t="s">
        <v>10</v>
      </c>
      <c r="C33">
        <v>71</v>
      </c>
      <c r="D33" t="str">
        <f>IF(Table1[[#This Row],[Age]]&lt;=4, "Toddler (0-4)",
IF(Table1[[#This Row],[Age]]&lt;=12, "Child (5-12)",
IF(Table1[[#This Row],[Age]]&lt;=19, "Adolescent (13-19)",
IF(Table1[[#This Row],[Age]]&lt;=35, "Young adult (20-35)",
IF(Table1[[#This Row],[Age]]&lt;=59, "Adult (36-59)", "Elderly (60-90)")))))</f>
        <v>Elderly (60-90)</v>
      </c>
      <c r="E33" t="s">
        <v>14</v>
      </c>
      <c r="F33">
        <v>4</v>
      </c>
      <c r="G33" t="str">
        <f>IF(Table1[[#This Row],[Admission_Days]]&lt;=5, "Immediate (1-5)",
IF(Table1[[#This Row],[Admission_Days]]&lt;=10, "Short-term (6-10)",
IF(Table1[[#This Row],[Admission_Days]]&lt;=15, "Medium-term (11-15)", "Long-term (16-20)")))</f>
        <v>Immediate (1-5)</v>
      </c>
      <c r="H33" t="s">
        <v>17</v>
      </c>
      <c r="I33">
        <v>4</v>
      </c>
      <c r="J33">
        <v>4</v>
      </c>
      <c r="K33" s="1">
        <v>400000</v>
      </c>
      <c r="L33" t="str">
        <f>IF(Table1[[#This Row],[Surgery_Cost_NGN]]&gt;0, "Yes", "No")</f>
        <v>Yes</v>
      </c>
      <c r="M33" s="1">
        <v>515196</v>
      </c>
      <c r="N33" t="str">
        <f>IF(Table1[[#This Row],[Surgery_Cost_NGN]]&gt;Table1[[#This Row],[Bill_Amount_NGN]], "Anomaly detected", "Valid")</f>
        <v>Valid</v>
      </c>
      <c r="O33" s="1">
        <f t="shared" si="0"/>
        <v>77.640354350577255</v>
      </c>
    </row>
    <row r="34" spans="1:15" x14ac:dyDescent="0.35">
      <c r="A34" t="s">
        <v>96</v>
      </c>
      <c r="B34" t="s">
        <v>13</v>
      </c>
      <c r="C34">
        <v>52</v>
      </c>
      <c r="D34" t="str">
        <f>IF(Table1[[#This Row],[Age]]&lt;=4, "Toddler (0-4)",
IF(Table1[[#This Row],[Age]]&lt;=12, "Child (5-12)",
IF(Table1[[#This Row],[Age]]&lt;=19, "Adolescent (13-19)",
IF(Table1[[#This Row],[Age]]&lt;=35, "Young adult (20-35)",
IF(Table1[[#This Row],[Age]]&lt;=59, "Adult (36-59)", "Elderly (60-90)")))))</f>
        <v>Adult (36-59)</v>
      </c>
      <c r="E34" t="s">
        <v>20</v>
      </c>
      <c r="F34">
        <v>1</v>
      </c>
      <c r="G34" t="str">
        <f>IF(Table1[[#This Row],[Admission_Days]]&lt;=5, "Immediate (1-5)",
IF(Table1[[#This Row],[Admission_Days]]&lt;=10, "Short-term (6-10)",
IF(Table1[[#This Row],[Admission_Days]]&lt;=15, "Medium-term (11-15)", "Long-term (16-20)")))</f>
        <v>Immediate (1-5)</v>
      </c>
      <c r="H34" t="s">
        <v>15</v>
      </c>
      <c r="I34">
        <v>4</v>
      </c>
      <c r="J34">
        <v>1</v>
      </c>
      <c r="K34" s="1">
        <v>0</v>
      </c>
      <c r="L34" t="str">
        <f>IF(Table1[[#This Row],[Surgery_Cost_NGN]]&gt;0, "Yes", "No")</f>
        <v>No</v>
      </c>
      <c r="M34" s="1">
        <v>54172</v>
      </c>
      <c r="N34" t="str">
        <f>IF(Table1[[#This Row],[Surgery_Cost_NGN]]&gt;Table1[[#This Row],[Bill_Amount_NGN]], "Anomaly detected", "Valid")</f>
        <v>Valid</v>
      </c>
      <c r="O34" s="1">
        <f t="shared" si="0"/>
        <v>0</v>
      </c>
    </row>
    <row r="35" spans="1:15" x14ac:dyDescent="0.35">
      <c r="A35" t="s">
        <v>97</v>
      </c>
      <c r="B35" t="s">
        <v>13</v>
      </c>
      <c r="C35">
        <v>33</v>
      </c>
      <c r="D35" t="str">
        <f>IF(Table1[[#This Row],[Age]]&lt;=4, "Toddler (0-4)",
IF(Table1[[#This Row],[Age]]&lt;=12, "Child (5-12)",
IF(Table1[[#This Row],[Age]]&lt;=19, "Adolescent (13-19)",
IF(Table1[[#This Row],[Age]]&lt;=35, "Young adult (20-35)",
IF(Table1[[#This Row],[Age]]&lt;=59, "Adult (36-59)", "Elderly (60-90)")))))</f>
        <v>Young adult (20-35)</v>
      </c>
      <c r="E35" t="s">
        <v>16</v>
      </c>
      <c r="F35">
        <v>8</v>
      </c>
      <c r="G35" t="str">
        <f>IF(Table1[[#This Row],[Admission_Days]]&lt;=5, "Immediate (1-5)",
IF(Table1[[#This Row],[Admission_Days]]&lt;=10, "Short-term (6-10)",
IF(Table1[[#This Row],[Admission_Days]]&lt;=15, "Medium-term (11-15)", "Long-term (16-20)")))</f>
        <v>Short-term (6-10)</v>
      </c>
      <c r="H35" t="s">
        <v>15</v>
      </c>
      <c r="I35">
        <v>4</v>
      </c>
      <c r="J35">
        <v>8</v>
      </c>
      <c r="K35" s="1">
        <v>600000</v>
      </c>
      <c r="L35" t="str">
        <f>IF(Table1[[#This Row],[Surgery_Cost_NGN]]&gt;0, "Yes", "No")</f>
        <v>Yes</v>
      </c>
      <c r="M35" s="1">
        <v>775244</v>
      </c>
      <c r="N35" t="str">
        <f>IF(Table1[[#This Row],[Surgery_Cost_NGN]]&gt;Table1[[#This Row],[Bill_Amount_NGN]], "Anomaly detected", "Valid")</f>
        <v>Valid</v>
      </c>
      <c r="O35" s="1">
        <f t="shared" si="0"/>
        <v>77.394987900583558</v>
      </c>
    </row>
    <row r="36" spans="1:15" x14ac:dyDescent="0.35">
      <c r="A36" t="s">
        <v>98</v>
      </c>
      <c r="B36" t="s">
        <v>13</v>
      </c>
      <c r="C36">
        <v>40</v>
      </c>
      <c r="D36" t="str">
        <f>IF(Table1[[#This Row],[Age]]&lt;=4, "Toddler (0-4)",
IF(Table1[[#This Row],[Age]]&lt;=12, "Child (5-12)",
IF(Table1[[#This Row],[Age]]&lt;=19, "Adolescent (13-19)",
IF(Table1[[#This Row],[Age]]&lt;=35, "Young adult (20-35)",
IF(Table1[[#This Row],[Age]]&lt;=59, "Adult (36-59)", "Elderly (60-90)")))))</f>
        <v>Adult (36-59)</v>
      </c>
      <c r="E36" t="s">
        <v>11</v>
      </c>
      <c r="F36">
        <v>17</v>
      </c>
      <c r="G36" t="str">
        <f>IF(Table1[[#This Row],[Admission_Days]]&lt;=5, "Immediate (1-5)",
IF(Table1[[#This Row],[Admission_Days]]&lt;=10, "Short-term (6-10)",
IF(Table1[[#This Row],[Admission_Days]]&lt;=15, "Medium-term (11-15)", "Long-term (16-20)")))</f>
        <v>Long-term (16-20)</v>
      </c>
      <c r="H36" t="s">
        <v>21</v>
      </c>
      <c r="I36">
        <v>2</v>
      </c>
      <c r="J36">
        <v>2</v>
      </c>
      <c r="K36" s="1">
        <v>600000</v>
      </c>
      <c r="L36" t="str">
        <f>IF(Table1[[#This Row],[Surgery_Cost_NGN]]&gt;0, "Yes", "No")</f>
        <v>Yes</v>
      </c>
      <c r="M36" s="1">
        <v>789292</v>
      </c>
      <c r="N36" t="str">
        <f>IF(Table1[[#This Row],[Surgery_Cost_NGN]]&gt;Table1[[#This Row],[Bill_Amount_NGN]], "Anomaly detected", "Valid")</f>
        <v>Valid</v>
      </c>
      <c r="O36" s="1">
        <f t="shared" si="0"/>
        <v>76.017494159322524</v>
      </c>
    </row>
    <row r="37" spans="1:15" x14ac:dyDescent="0.35">
      <c r="A37" t="s">
        <v>99</v>
      </c>
      <c r="B37" t="s">
        <v>10</v>
      </c>
      <c r="C37">
        <v>39</v>
      </c>
      <c r="D37" t="str">
        <f>IF(Table1[[#This Row],[Age]]&lt;=4, "Toddler (0-4)",
IF(Table1[[#This Row],[Age]]&lt;=12, "Child (5-12)",
IF(Table1[[#This Row],[Age]]&lt;=19, "Adolescent (13-19)",
IF(Table1[[#This Row],[Age]]&lt;=35, "Young adult (20-35)",
IF(Table1[[#This Row],[Age]]&lt;=59, "Adult (36-59)", "Elderly (60-90)")))))</f>
        <v>Adult (36-59)</v>
      </c>
      <c r="E37" t="s">
        <v>20</v>
      </c>
      <c r="F37">
        <v>3</v>
      </c>
      <c r="G37" t="str">
        <f>IF(Table1[[#This Row],[Admission_Days]]&lt;=5, "Immediate (1-5)",
IF(Table1[[#This Row],[Admission_Days]]&lt;=10, "Short-term (6-10)",
IF(Table1[[#This Row],[Admission_Days]]&lt;=15, "Medium-term (11-15)", "Long-term (16-20)")))</f>
        <v>Immediate (1-5)</v>
      </c>
      <c r="H37" t="s">
        <v>17</v>
      </c>
      <c r="I37">
        <v>3</v>
      </c>
      <c r="J37">
        <v>1</v>
      </c>
      <c r="K37" s="1">
        <v>150000</v>
      </c>
      <c r="L37" t="str">
        <f>IF(Table1[[#This Row],[Surgery_Cost_NGN]]&gt;0, "Yes", "No")</f>
        <v>Yes</v>
      </c>
      <c r="M37" s="1">
        <v>205550</v>
      </c>
      <c r="N37" t="str">
        <f>IF(Table1[[#This Row],[Surgery_Cost_NGN]]&gt;Table1[[#This Row],[Bill_Amount_NGN]], "Anomaly detected", "Valid")</f>
        <v>Valid</v>
      </c>
      <c r="O37" s="1">
        <f t="shared" si="0"/>
        <v>72.974945268791046</v>
      </c>
    </row>
    <row r="38" spans="1:15" x14ac:dyDescent="0.35">
      <c r="A38" t="s">
        <v>100</v>
      </c>
      <c r="B38" t="s">
        <v>13</v>
      </c>
      <c r="C38">
        <v>82</v>
      </c>
      <c r="D38" t="str">
        <f>IF(Table1[[#This Row],[Age]]&lt;=4, "Toddler (0-4)",
IF(Table1[[#This Row],[Age]]&lt;=12, "Child (5-12)",
IF(Table1[[#This Row],[Age]]&lt;=19, "Adolescent (13-19)",
IF(Table1[[#This Row],[Age]]&lt;=35, "Young adult (20-35)",
IF(Table1[[#This Row],[Age]]&lt;=59, "Adult (36-59)", "Elderly (60-90)")))))</f>
        <v>Elderly (60-90)</v>
      </c>
      <c r="E38" t="s">
        <v>11</v>
      </c>
      <c r="F38">
        <v>20</v>
      </c>
      <c r="G38" t="str">
        <f>IF(Table1[[#This Row],[Admission_Days]]&lt;=5, "Immediate (1-5)",
IF(Table1[[#This Row],[Admission_Days]]&lt;=10, "Short-term (6-10)",
IF(Table1[[#This Row],[Admission_Days]]&lt;=15, "Medium-term (11-15)", "Long-term (16-20)")))</f>
        <v>Long-term (16-20)</v>
      </c>
      <c r="H38" t="s">
        <v>17</v>
      </c>
      <c r="I38">
        <v>5</v>
      </c>
      <c r="J38">
        <v>2</v>
      </c>
      <c r="K38" s="1">
        <v>0</v>
      </c>
      <c r="L38" t="str">
        <f>IF(Table1[[#This Row],[Surgery_Cost_NGN]]&gt;0, "Yes", "No")</f>
        <v>No</v>
      </c>
      <c r="M38" s="1">
        <v>298556</v>
      </c>
      <c r="N38" t="str">
        <f>IF(Table1[[#This Row],[Surgery_Cost_NGN]]&gt;Table1[[#This Row],[Bill_Amount_NGN]], "Anomaly detected", "Valid")</f>
        <v>Valid</v>
      </c>
      <c r="O38" s="1">
        <f t="shared" si="0"/>
        <v>0</v>
      </c>
    </row>
    <row r="39" spans="1:15" x14ac:dyDescent="0.35">
      <c r="A39" t="s">
        <v>101</v>
      </c>
      <c r="B39" t="s">
        <v>10</v>
      </c>
      <c r="C39">
        <v>1</v>
      </c>
      <c r="D39" t="str">
        <f>IF(Table1[[#This Row],[Age]]&lt;=4, "Toddler (0-4)",
IF(Table1[[#This Row],[Age]]&lt;=12, "Child (5-12)",
IF(Table1[[#This Row],[Age]]&lt;=19, "Adolescent (13-19)",
IF(Table1[[#This Row],[Age]]&lt;=35, "Young adult (20-35)",
IF(Table1[[#This Row],[Age]]&lt;=59, "Adult (36-59)", "Elderly (60-90)")))))</f>
        <v>Toddler (0-4)</v>
      </c>
      <c r="E39" t="s">
        <v>14</v>
      </c>
      <c r="F39">
        <v>15</v>
      </c>
      <c r="G39" t="str">
        <f>IF(Table1[[#This Row],[Admission_Days]]&lt;=5, "Immediate (1-5)",
IF(Table1[[#This Row],[Admission_Days]]&lt;=10, "Short-term (6-10)",
IF(Table1[[#This Row],[Admission_Days]]&lt;=15, "Medium-term (11-15)", "Long-term (16-20)")))</f>
        <v>Medium-term (11-15)</v>
      </c>
      <c r="H39" t="s">
        <v>21</v>
      </c>
      <c r="I39">
        <v>5</v>
      </c>
      <c r="J39">
        <v>1</v>
      </c>
      <c r="K39" s="1">
        <v>600000</v>
      </c>
      <c r="L39" t="str">
        <f>IF(Table1[[#This Row],[Surgery_Cost_NGN]]&gt;0, "Yes", "No")</f>
        <v>Yes</v>
      </c>
      <c r="M39" s="1">
        <v>878341</v>
      </c>
      <c r="N39" t="str">
        <f>IF(Table1[[#This Row],[Surgery_Cost_NGN]]&gt;Table1[[#This Row],[Bill_Amount_NGN]], "Anomaly detected", "Valid")</f>
        <v>Valid</v>
      </c>
      <c r="O39" s="1">
        <f t="shared" si="0"/>
        <v>68.31059918642076</v>
      </c>
    </row>
    <row r="40" spans="1:15" x14ac:dyDescent="0.35">
      <c r="A40" t="s">
        <v>102</v>
      </c>
      <c r="B40" t="s">
        <v>10</v>
      </c>
      <c r="C40">
        <v>11</v>
      </c>
      <c r="D40" t="str">
        <f>IF(Table1[[#This Row],[Age]]&lt;=4, "Toddler (0-4)",
IF(Table1[[#This Row],[Age]]&lt;=12, "Child (5-12)",
IF(Table1[[#This Row],[Age]]&lt;=19, "Adolescent (13-19)",
IF(Table1[[#This Row],[Age]]&lt;=35, "Young adult (20-35)",
IF(Table1[[#This Row],[Age]]&lt;=59, "Adult (36-59)", "Elderly (60-90)")))))</f>
        <v>Child (5-12)</v>
      </c>
      <c r="E40" t="s">
        <v>11</v>
      </c>
      <c r="F40">
        <v>15</v>
      </c>
      <c r="G40" t="str">
        <f>IF(Table1[[#This Row],[Admission_Days]]&lt;=5, "Immediate (1-5)",
IF(Table1[[#This Row],[Admission_Days]]&lt;=10, "Short-term (6-10)",
IF(Table1[[#This Row],[Admission_Days]]&lt;=15, "Medium-term (11-15)", "Long-term (16-20)")))</f>
        <v>Medium-term (11-15)</v>
      </c>
      <c r="H40" t="s">
        <v>12</v>
      </c>
      <c r="I40">
        <v>2</v>
      </c>
      <c r="J40">
        <v>1</v>
      </c>
      <c r="K40" s="1">
        <v>250000</v>
      </c>
      <c r="L40" t="str">
        <f>IF(Table1[[#This Row],[Surgery_Cost_NGN]]&gt;0, "Yes", "No")</f>
        <v>Yes</v>
      </c>
      <c r="M40" s="1">
        <v>443896</v>
      </c>
      <c r="N40" t="str">
        <f>IF(Table1[[#This Row],[Surgery_Cost_NGN]]&gt;Table1[[#This Row],[Bill_Amount_NGN]], "Anomaly detected", "Valid")</f>
        <v>Valid</v>
      </c>
      <c r="O40" s="1">
        <f t="shared" si="0"/>
        <v>56.319498260853898</v>
      </c>
    </row>
    <row r="41" spans="1:15" x14ac:dyDescent="0.35">
      <c r="A41" t="s">
        <v>103</v>
      </c>
      <c r="B41" t="s">
        <v>10</v>
      </c>
      <c r="C41">
        <v>57</v>
      </c>
      <c r="D41" t="str">
        <f>IF(Table1[[#This Row],[Age]]&lt;=4, "Toddler (0-4)",
IF(Table1[[#This Row],[Age]]&lt;=12, "Child (5-12)",
IF(Table1[[#This Row],[Age]]&lt;=19, "Adolescent (13-19)",
IF(Table1[[#This Row],[Age]]&lt;=35, "Young adult (20-35)",
IF(Table1[[#This Row],[Age]]&lt;=59, "Adult (36-59)", "Elderly (60-90)")))))</f>
        <v>Adult (36-59)</v>
      </c>
      <c r="E41" t="s">
        <v>11</v>
      </c>
      <c r="F41">
        <v>14</v>
      </c>
      <c r="G41" t="str">
        <f>IF(Table1[[#This Row],[Admission_Days]]&lt;=5, "Immediate (1-5)",
IF(Table1[[#This Row],[Admission_Days]]&lt;=10, "Short-term (6-10)",
IF(Table1[[#This Row],[Admission_Days]]&lt;=15, "Medium-term (11-15)", "Long-term (16-20)")))</f>
        <v>Medium-term (11-15)</v>
      </c>
      <c r="H41" t="s">
        <v>12</v>
      </c>
      <c r="I41">
        <v>5</v>
      </c>
      <c r="J41">
        <v>9</v>
      </c>
      <c r="K41" s="1">
        <v>700000</v>
      </c>
      <c r="L41" t="str">
        <f>IF(Table1[[#This Row],[Surgery_Cost_NGN]]&gt;0, "Yes", "No")</f>
        <v>Yes</v>
      </c>
      <c r="M41" s="1">
        <v>360000</v>
      </c>
      <c r="N41" t="str">
        <f>IF(Table1[[#This Row],[Surgery_Cost_NGN]]&gt;Table1[[#This Row],[Bill_Amount_NGN]], "Anomaly detected", "Valid")</f>
        <v>Anomaly detected</v>
      </c>
      <c r="O41" s="1">
        <f t="shared" si="0"/>
        <v>194.44444444444443</v>
      </c>
    </row>
    <row r="42" spans="1:15" x14ac:dyDescent="0.35">
      <c r="A42" t="s">
        <v>104</v>
      </c>
      <c r="B42" t="s">
        <v>10</v>
      </c>
      <c r="C42">
        <v>50</v>
      </c>
      <c r="D42" t="str">
        <f>IF(Table1[[#This Row],[Age]]&lt;=4, "Toddler (0-4)",
IF(Table1[[#This Row],[Age]]&lt;=12, "Child (5-12)",
IF(Table1[[#This Row],[Age]]&lt;=19, "Adolescent (13-19)",
IF(Table1[[#This Row],[Age]]&lt;=35, "Young adult (20-35)",
IF(Table1[[#This Row],[Age]]&lt;=59, "Adult (36-59)", "Elderly (60-90)")))))</f>
        <v>Adult (36-59)</v>
      </c>
      <c r="E42" t="s">
        <v>22</v>
      </c>
      <c r="F42">
        <v>14</v>
      </c>
      <c r="G42" t="str">
        <f>IF(Table1[[#This Row],[Admission_Days]]&lt;=5, "Immediate (1-5)",
IF(Table1[[#This Row],[Admission_Days]]&lt;=10, "Short-term (6-10)",
IF(Table1[[#This Row],[Admission_Days]]&lt;=15, "Medium-term (11-15)", "Long-term (16-20)")))</f>
        <v>Medium-term (11-15)</v>
      </c>
      <c r="H42" t="s">
        <v>12</v>
      </c>
      <c r="I42">
        <v>4</v>
      </c>
      <c r="J42">
        <v>1</v>
      </c>
      <c r="K42" s="1">
        <v>600000</v>
      </c>
      <c r="L42" t="str">
        <f>IF(Table1[[#This Row],[Surgery_Cost_NGN]]&gt;0, "Yes", "No")</f>
        <v>Yes</v>
      </c>
      <c r="M42" s="1">
        <v>734113</v>
      </c>
      <c r="N42" t="str">
        <f>IF(Table1[[#This Row],[Surgery_Cost_NGN]]&gt;Table1[[#This Row],[Bill_Amount_NGN]], "Anomaly detected", "Valid")</f>
        <v>Valid</v>
      </c>
      <c r="O42" s="1">
        <f t="shared" si="0"/>
        <v>81.731286600291781</v>
      </c>
    </row>
    <row r="43" spans="1:15" x14ac:dyDescent="0.35">
      <c r="A43" t="s">
        <v>105</v>
      </c>
      <c r="B43" t="s">
        <v>10</v>
      </c>
      <c r="C43">
        <v>23</v>
      </c>
      <c r="D43" t="str">
        <f>IF(Table1[[#This Row],[Age]]&lt;=4, "Toddler (0-4)",
IF(Table1[[#This Row],[Age]]&lt;=12, "Child (5-12)",
IF(Table1[[#This Row],[Age]]&lt;=19, "Adolescent (13-19)",
IF(Table1[[#This Row],[Age]]&lt;=35, "Young adult (20-35)",
IF(Table1[[#This Row],[Age]]&lt;=59, "Adult (36-59)", "Elderly (60-90)")))))</f>
        <v>Young adult (20-35)</v>
      </c>
      <c r="E43" t="s">
        <v>22</v>
      </c>
      <c r="F43">
        <v>2</v>
      </c>
      <c r="G43" t="str">
        <f>IF(Table1[[#This Row],[Admission_Days]]&lt;=5, "Immediate (1-5)",
IF(Table1[[#This Row],[Admission_Days]]&lt;=10, "Short-term (6-10)",
IF(Table1[[#This Row],[Admission_Days]]&lt;=15, "Medium-term (11-15)", "Long-term (16-20)")))</f>
        <v>Immediate (1-5)</v>
      </c>
      <c r="H43" t="s">
        <v>21</v>
      </c>
      <c r="I43">
        <v>1</v>
      </c>
      <c r="J43">
        <v>4</v>
      </c>
      <c r="K43" s="1">
        <v>600000</v>
      </c>
      <c r="L43" t="str">
        <f>IF(Table1[[#This Row],[Surgery_Cost_NGN]]&gt;0, "Yes", "No")</f>
        <v>Yes</v>
      </c>
      <c r="M43" s="1">
        <v>677792</v>
      </c>
      <c r="N43" t="str">
        <f>IF(Table1[[#This Row],[Surgery_Cost_NGN]]&gt;Table1[[#This Row],[Bill_Amount_NGN]], "Anomaly detected", "Valid")</f>
        <v>Valid</v>
      </c>
      <c r="O43" s="1">
        <f t="shared" si="0"/>
        <v>88.52273263774137</v>
      </c>
    </row>
    <row r="44" spans="1:15" x14ac:dyDescent="0.35">
      <c r="A44" t="s">
        <v>106</v>
      </c>
      <c r="B44" t="s">
        <v>13</v>
      </c>
      <c r="C44">
        <v>31</v>
      </c>
      <c r="D44" t="str">
        <f>IF(Table1[[#This Row],[Age]]&lt;=4, "Toddler (0-4)",
IF(Table1[[#This Row],[Age]]&lt;=12, "Child (5-12)",
IF(Table1[[#This Row],[Age]]&lt;=19, "Adolescent (13-19)",
IF(Table1[[#This Row],[Age]]&lt;=35, "Young adult (20-35)",
IF(Table1[[#This Row],[Age]]&lt;=59, "Adult (36-59)", "Elderly (60-90)")))))</f>
        <v>Young adult (20-35)</v>
      </c>
      <c r="E44" t="s">
        <v>19</v>
      </c>
      <c r="F44">
        <v>13</v>
      </c>
      <c r="G44" t="str">
        <f>IF(Table1[[#This Row],[Admission_Days]]&lt;=5, "Immediate (1-5)",
IF(Table1[[#This Row],[Admission_Days]]&lt;=10, "Short-term (6-10)",
IF(Table1[[#This Row],[Admission_Days]]&lt;=15, "Medium-term (11-15)", "Long-term (16-20)")))</f>
        <v>Medium-term (11-15)</v>
      </c>
      <c r="H44" t="s">
        <v>17</v>
      </c>
      <c r="I44">
        <v>0</v>
      </c>
      <c r="J44">
        <v>6</v>
      </c>
      <c r="K44" s="1">
        <v>0</v>
      </c>
      <c r="L44" t="str">
        <f>IF(Table1[[#This Row],[Surgery_Cost_NGN]]&gt;0, "Yes", "No")</f>
        <v>No</v>
      </c>
      <c r="M44" s="1">
        <v>0</v>
      </c>
      <c r="N44" t="str">
        <f>IF(Table1[[#This Row],[Surgery_Cost_NGN]]&gt;Table1[[#This Row],[Bill_Amount_NGN]], "Anomaly detected", "Valid")</f>
        <v>Valid</v>
      </c>
      <c r="O44" s="1">
        <f t="shared" si="0"/>
        <v>0</v>
      </c>
    </row>
    <row r="45" spans="1:15" x14ac:dyDescent="0.35">
      <c r="A45" t="s">
        <v>107</v>
      </c>
      <c r="B45" t="s">
        <v>13</v>
      </c>
      <c r="C45">
        <v>42</v>
      </c>
      <c r="D45" t="str">
        <f>IF(Table1[[#This Row],[Age]]&lt;=4, "Toddler (0-4)",
IF(Table1[[#This Row],[Age]]&lt;=12, "Child (5-12)",
IF(Table1[[#This Row],[Age]]&lt;=19, "Adolescent (13-19)",
IF(Table1[[#This Row],[Age]]&lt;=35, "Young adult (20-35)",
IF(Table1[[#This Row],[Age]]&lt;=59, "Adult (36-59)", "Elderly (60-90)")))))</f>
        <v>Adult (36-59)</v>
      </c>
      <c r="E45" t="s">
        <v>22</v>
      </c>
      <c r="F45">
        <v>14</v>
      </c>
      <c r="G45" t="str">
        <f>IF(Table1[[#This Row],[Admission_Days]]&lt;=5, "Immediate (1-5)",
IF(Table1[[#This Row],[Admission_Days]]&lt;=10, "Short-term (6-10)",
IF(Table1[[#This Row],[Admission_Days]]&lt;=15, "Medium-term (11-15)", "Long-term (16-20)")))</f>
        <v>Medium-term (11-15)</v>
      </c>
      <c r="H45" t="s">
        <v>21</v>
      </c>
      <c r="I45">
        <v>3</v>
      </c>
      <c r="J45">
        <v>7</v>
      </c>
      <c r="K45" s="1">
        <v>0</v>
      </c>
      <c r="L45" t="str">
        <f>IF(Table1[[#This Row],[Surgery_Cost_NGN]]&gt;0, "Yes", "No")</f>
        <v>No</v>
      </c>
      <c r="M45" s="1">
        <v>292315</v>
      </c>
      <c r="N45" t="str">
        <f>IF(Table1[[#This Row],[Surgery_Cost_NGN]]&gt;Table1[[#This Row],[Bill_Amount_NGN]], "Anomaly detected", "Valid")</f>
        <v>Valid</v>
      </c>
      <c r="O45" s="1">
        <f t="shared" si="0"/>
        <v>0</v>
      </c>
    </row>
    <row r="46" spans="1:15" x14ac:dyDescent="0.35">
      <c r="A46" t="s">
        <v>108</v>
      </c>
      <c r="B46" t="s">
        <v>13</v>
      </c>
      <c r="C46">
        <v>7</v>
      </c>
      <c r="D46" t="str">
        <f>IF(Table1[[#This Row],[Age]]&lt;=4, "Toddler (0-4)",
IF(Table1[[#This Row],[Age]]&lt;=12, "Child (5-12)",
IF(Table1[[#This Row],[Age]]&lt;=19, "Adolescent (13-19)",
IF(Table1[[#This Row],[Age]]&lt;=35, "Young adult (20-35)",
IF(Table1[[#This Row],[Age]]&lt;=59, "Adult (36-59)", "Elderly (60-90)")))))</f>
        <v>Child (5-12)</v>
      </c>
      <c r="E46" t="s">
        <v>11</v>
      </c>
      <c r="F46">
        <v>19</v>
      </c>
      <c r="G46" t="str">
        <f>IF(Table1[[#This Row],[Admission_Days]]&lt;=5, "Immediate (1-5)",
IF(Table1[[#This Row],[Admission_Days]]&lt;=10, "Short-term (6-10)",
IF(Table1[[#This Row],[Admission_Days]]&lt;=15, "Medium-term (11-15)", "Long-term (16-20)")))</f>
        <v>Long-term (16-20)</v>
      </c>
      <c r="H46" t="s">
        <v>21</v>
      </c>
      <c r="I46">
        <v>3</v>
      </c>
      <c r="J46">
        <v>2</v>
      </c>
      <c r="K46" s="1">
        <v>250000</v>
      </c>
      <c r="L46" t="str">
        <f>IF(Table1[[#This Row],[Surgery_Cost_NGN]]&gt;0, "Yes", "No")</f>
        <v>Yes</v>
      </c>
      <c r="M46" s="1">
        <v>527132</v>
      </c>
      <c r="N46" t="str">
        <f>IF(Table1[[#This Row],[Surgery_Cost_NGN]]&gt;Table1[[#This Row],[Bill_Amount_NGN]], "Anomaly detected", "Valid")</f>
        <v>Valid</v>
      </c>
      <c r="O46" s="1">
        <f t="shared" si="0"/>
        <v>47.426451059696625</v>
      </c>
    </row>
    <row r="47" spans="1:15" x14ac:dyDescent="0.35">
      <c r="A47" t="s">
        <v>109</v>
      </c>
      <c r="B47" t="s">
        <v>13</v>
      </c>
      <c r="C47">
        <v>16</v>
      </c>
      <c r="D47" t="str">
        <f>IF(Table1[[#This Row],[Age]]&lt;=4, "Toddler (0-4)",
IF(Table1[[#This Row],[Age]]&lt;=12, "Child (5-12)",
IF(Table1[[#This Row],[Age]]&lt;=19, "Adolescent (13-19)",
IF(Table1[[#This Row],[Age]]&lt;=35, "Young adult (20-35)",
IF(Table1[[#This Row],[Age]]&lt;=59, "Adult (36-59)", "Elderly (60-90)")))))</f>
        <v>Adolescent (13-19)</v>
      </c>
      <c r="E47" t="s">
        <v>16</v>
      </c>
      <c r="F47">
        <v>7</v>
      </c>
      <c r="G47" t="str">
        <f>IF(Table1[[#This Row],[Admission_Days]]&lt;=5, "Immediate (1-5)",
IF(Table1[[#This Row],[Admission_Days]]&lt;=10, "Short-term (6-10)",
IF(Table1[[#This Row],[Admission_Days]]&lt;=15, "Medium-term (11-15)", "Long-term (16-20)")))</f>
        <v>Short-term (6-10)</v>
      </c>
      <c r="H47" t="s">
        <v>12</v>
      </c>
      <c r="I47">
        <v>2</v>
      </c>
      <c r="J47">
        <v>6</v>
      </c>
      <c r="K47" s="1">
        <v>0</v>
      </c>
      <c r="L47" t="str">
        <f>IF(Table1[[#This Row],[Surgery_Cost_NGN]]&gt;0, "Yes", "No")</f>
        <v>No</v>
      </c>
      <c r="M47" s="1">
        <v>139948</v>
      </c>
      <c r="N47" t="str">
        <f>IF(Table1[[#This Row],[Surgery_Cost_NGN]]&gt;Table1[[#This Row],[Bill_Amount_NGN]], "Anomaly detected", "Valid")</f>
        <v>Valid</v>
      </c>
      <c r="O47" s="1">
        <f t="shared" si="0"/>
        <v>0</v>
      </c>
    </row>
    <row r="48" spans="1:15" x14ac:dyDescent="0.35">
      <c r="A48" t="s">
        <v>110</v>
      </c>
      <c r="B48" t="s">
        <v>13</v>
      </c>
      <c r="C48">
        <v>60</v>
      </c>
      <c r="D48" t="str">
        <f>IF(Table1[[#This Row],[Age]]&lt;=4, "Toddler (0-4)",
IF(Table1[[#This Row],[Age]]&lt;=12, "Child (5-12)",
IF(Table1[[#This Row],[Age]]&lt;=19, "Adolescent (13-19)",
IF(Table1[[#This Row],[Age]]&lt;=35, "Young adult (20-35)",
IF(Table1[[#This Row],[Age]]&lt;=59, "Adult (36-59)", "Elderly (60-90)")))))</f>
        <v>Elderly (60-90)</v>
      </c>
      <c r="E48" t="s">
        <v>11</v>
      </c>
      <c r="F48">
        <v>3</v>
      </c>
      <c r="G48" t="str">
        <f>IF(Table1[[#This Row],[Admission_Days]]&lt;=5, "Immediate (1-5)",
IF(Table1[[#This Row],[Admission_Days]]&lt;=10, "Short-term (6-10)",
IF(Table1[[#This Row],[Admission_Days]]&lt;=15, "Medium-term (11-15)", "Long-term (16-20)")))</f>
        <v>Immediate (1-5)</v>
      </c>
      <c r="H48" t="s">
        <v>18</v>
      </c>
      <c r="I48">
        <v>3</v>
      </c>
      <c r="J48">
        <v>7</v>
      </c>
      <c r="K48" s="1">
        <v>150000</v>
      </c>
      <c r="L48" t="str">
        <f>IF(Table1[[#This Row],[Surgery_Cost_NGN]]&gt;0, "Yes", "No")</f>
        <v>Yes</v>
      </c>
      <c r="M48" s="1">
        <v>242340</v>
      </c>
      <c r="N48" t="str">
        <f>IF(Table1[[#This Row],[Surgery_Cost_NGN]]&gt;Table1[[#This Row],[Bill_Amount_NGN]], "Anomaly detected", "Valid")</f>
        <v>Valid</v>
      </c>
      <c r="O48" s="1">
        <f t="shared" si="0"/>
        <v>61.896509036890322</v>
      </c>
    </row>
    <row r="49" spans="1:15" x14ac:dyDescent="0.35">
      <c r="A49" t="s">
        <v>111</v>
      </c>
      <c r="B49" t="s">
        <v>10</v>
      </c>
      <c r="C49">
        <v>2</v>
      </c>
      <c r="D49" t="str">
        <f>IF(Table1[[#This Row],[Age]]&lt;=4, "Toddler (0-4)",
IF(Table1[[#This Row],[Age]]&lt;=12, "Child (5-12)",
IF(Table1[[#This Row],[Age]]&lt;=19, "Adolescent (13-19)",
IF(Table1[[#This Row],[Age]]&lt;=35, "Young adult (20-35)",
IF(Table1[[#This Row],[Age]]&lt;=59, "Adult (36-59)", "Elderly (60-90)")))))</f>
        <v>Toddler (0-4)</v>
      </c>
      <c r="E49" t="s">
        <v>16</v>
      </c>
      <c r="F49">
        <v>15</v>
      </c>
      <c r="G49" t="str">
        <f>IF(Table1[[#This Row],[Admission_Days]]&lt;=5, "Immediate (1-5)",
IF(Table1[[#This Row],[Admission_Days]]&lt;=10, "Short-term (6-10)",
IF(Table1[[#This Row],[Admission_Days]]&lt;=15, "Medium-term (11-15)", "Long-term (16-20)")))</f>
        <v>Medium-term (11-15)</v>
      </c>
      <c r="H49" t="s">
        <v>17</v>
      </c>
      <c r="I49">
        <v>4</v>
      </c>
      <c r="J49">
        <v>2</v>
      </c>
      <c r="K49" s="1">
        <v>150000</v>
      </c>
      <c r="L49" t="str">
        <f>IF(Table1[[#This Row],[Surgery_Cost_NGN]]&gt;0, "Yes", "No")</f>
        <v>Yes</v>
      </c>
      <c r="M49" s="1">
        <v>384013</v>
      </c>
      <c r="N49" t="str">
        <f>IF(Table1[[#This Row],[Surgery_Cost_NGN]]&gt;Table1[[#This Row],[Bill_Amount_NGN]], "Anomaly detected", "Valid")</f>
        <v>Valid</v>
      </c>
      <c r="O49" s="1">
        <f t="shared" si="0"/>
        <v>39.061177616382778</v>
      </c>
    </row>
    <row r="50" spans="1:15" x14ac:dyDescent="0.35">
      <c r="A50" t="s">
        <v>112</v>
      </c>
      <c r="B50" t="s">
        <v>13</v>
      </c>
      <c r="C50">
        <v>1</v>
      </c>
      <c r="D50" t="str">
        <f>IF(Table1[[#This Row],[Age]]&lt;=4, "Toddler (0-4)",
IF(Table1[[#This Row],[Age]]&lt;=12, "Child (5-12)",
IF(Table1[[#This Row],[Age]]&lt;=19, "Adolescent (13-19)",
IF(Table1[[#This Row],[Age]]&lt;=35, "Young adult (20-35)",
IF(Table1[[#This Row],[Age]]&lt;=59, "Adult (36-59)", "Elderly (60-90)")))))</f>
        <v>Toddler (0-4)</v>
      </c>
      <c r="E50" t="s">
        <v>16</v>
      </c>
      <c r="F50">
        <v>14</v>
      </c>
      <c r="G50" t="str">
        <f>IF(Table1[[#This Row],[Admission_Days]]&lt;=5, "Immediate (1-5)",
IF(Table1[[#This Row],[Admission_Days]]&lt;=10, "Short-term (6-10)",
IF(Table1[[#This Row],[Admission_Days]]&lt;=15, "Medium-term (11-15)", "Long-term (16-20)")))</f>
        <v>Medium-term (11-15)</v>
      </c>
      <c r="H50" t="s">
        <v>12</v>
      </c>
      <c r="I50">
        <v>5</v>
      </c>
      <c r="J50">
        <v>2</v>
      </c>
      <c r="K50" s="1">
        <v>150000</v>
      </c>
      <c r="L50" t="str">
        <f>IF(Table1[[#This Row],[Surgery_Cost_NGN]]&gt;0, "Yes", "No")</f>
        <v>Yes</v>
      </c>
      <c r="M50" s="1">
        <v>385810</v>
      </c>
      <c r="N50" t="str">
        <f>IF(Table1[[#This Row],[Surgery_Cost_NGN]]&gt;Table1[[#This Row],[Bill_Amount_NGN]], "Anomaly detected", "Valid")</f>
        <v>Valid</v>
      </c>
      <c r="O50" s="1">
        <f t="shared" si="0"/>
        <v>38.879241077214175</v>
      </c>
    </row>
    <row r="51" spans="1:15" x14ac:dyDescent="0.35">
      <c r="A51" t="s">
        <v>113</v>
      </c>
      <c r="B51" t="s">
        <v>13</v>
      </c>
      <c r="C51">
        <v>48</v>
      </c>
      <c r="D51" t="str">
        <f>IF(Table1[[#This Row],[Age]]&lt;=4, "Toddler (0-4)",
IF(Table1[[#This Row],[Age]]&lt;=12, "Child (5-12)",
IF(Table1[[#This Row],[Age]]&lt;=19, "Adolescent (13-19)",
IF(Table1[[#This Row],[Age]]&lt;=35, "Young adult (20-35)",
IF(Table1[[#This Row],[Age]]&lt;=59, "Adult (36-59)", "Elderly (60-90)")))))</f>
        <v>Adult (36-59)</v>
      </c>
      <c r="E51" t="s">
        <v>22</v>
      </c>
      <c r="F51">
        <v>11</v>
      </c>
      <c r="G51" t="str">
        <f>IF(Table1[[#This Row],[Admission_Days]]&lt;=5, "Immediate (1-5)",
IF(Table1[[#This Row],[Admission_Days]]&lt;=10, "Short-term (6-10)",
IF(Table1[[#This Row],[Admission_Days]]&lt;=15, "Medium-term (11-15)", "Long-term (16-20)")))</f>
        <v>Medium-term (11-15)</v>
      </c>
      <c r="H51" t="s">
        <v>18</v>
      </c>
      <c r="I51">
        <v>4</v>
      </c>
      <c r="J51">
        <v>7</v>
      </c>
      <c r="K51" s="1">
        <v>400000</v>
      </c>
      <c r="L51" t="str">
        <f>IF(Table1[[#This Row],[Surgery_Cost_NGN]]&gt;0, "Yes", "No")</f>
        <v>Yes</v>
      </c>
      <c r="M51" s="1">
        <v>536729</v>
      </c>
      <c r="N51" t="str">
        <f>IF(Table1[[#This Row],[Surgery_Cost_NGN]]&gt;Table1[[#This Row],[Bill_Amount_NGN]], "Anomaly detected", "Valid")</f>
        <v>Valid</v>
      </c>
      <c r="O51" s="1">
        <f t="shared" si="0"/>
        <v>74.525505422662093</v>
      </c>
    </row>
    <row r="52" spans="1:15" x14ac:dyDescent="0.35">
      <c r="A52" t="s">
        <v>114</v>
      </c>
      <c r="B52" t="s">
        <v>10</v>
      </c>
      <c r="C52">
        <v>12</v>
      </c>
      <c r="D52" t="str">
        <f>IF(Table1[[#This Row],[Age]]&lt;=4, "Toddler (0-4)",
IF(Table1[[#This Row],[Age]]&lt;=12, "Child (5-12)",
IF(Table1[[#This Row],[Age]]&lt;=19, "Adolescent (13-19)",
IF(Table1[[#This Row],[Age]]&lt;=35, "Young adult (20-35)",
IF(Table1[[#This Row],[Age]]&lt;=59, "Adult (36-59)", "Elderly (60-90)")))))</f>
        <v>Child (5-12)</v>
      </c>
      <c r="E52" t="s">
        <v>20</v>
      </c>
      <c r="F52">
        <v>15</v>
      </c>
      <c r="G52" t="str">
        <f>IF(Table1[[#This Row],[Admission_Days]]&lt;=5, "Immediate (1-5)",
IF(Table1[[#This Row],[Admission_Days]]&lt;=10, "Short-term (6-10)",
IF(Table1[[#This Row],[Admission_Days]]&lt;=15, "Medium-term (11-15)", "Long-term (16-20)")))</f>
        <v>Medium-term (11-15)</v>
      </c>
      <c r="H52" t="s">
        <v>18</v>
      </c>
      <c r="I52">
        <v>2</v>
      </c>
      <c r="J52">
        <v>1</v>
      </c>
      <c r="K52" s="1">
        <v>600000</v>
      </c>
      <c r="L52" t="str">
        <f>IF(Table1[[#This Row],[Surgery_Cost_NGN]]&gt;0, "Yes", "No")</f>
        <v>Yes</v>
      </c>
      <c r="M52" s="1">
        <v>734885</v>
      </c>
      <c r="N52" t="str">
        <f>IF(Table1[[#This Row],[Surgery_Cost_NGN]]&gt;Table1[[#This Row],[Bill_Amount_NGN]], "Anomaly detected", "Valid")</f>
        <v>Valid</v>
      </c>
      <c r="O52" s="1">
        <f t="shared" si="0"/>
        <v>81.645427515869827</v>
      </c>
    </row>
    <row r="53" spans="1:15" x14ac:dyDescent="0.35">
      <c r="A53" t="s">
        <v>115</v>
      </c>
      <c r="B53" t="s">
        <v>13</v>
      </c>
      <c r="C53">
        <v>69</v>
      </c>
      <c r="D53" t="str">
        <f>IF(Table1[[#This Row],[Age]]&lt;=4, "Toddler (0-4)",
IF(Table1[[#This Row],[Age]]&lt;=12, "Child (5-12)",
IF(Table1[[#This Row],[Age]]&lt;=19, "Adolescent (13-19)",
IF(Table1[[#This Row],[Age]]&lt;=35, "Young adult (20-35)",
IF(Table1[[#This Row],[Age]]&lt;=59, "Adult (36-59)", "Elderly (60-90)")))))</f>
        <v>Elderly (60-90)</v>
      </c>
      <c r="E53" t="s">
        <v>14</v>
      </c>
      <c r="F53">
        <v>13</v>
      </c>
      <c r="G53" t="str">
        <f>IF(Table1[[#This Row],[Admission_Days]]&lt;=5, "Immediate (1-5)",
IF(Table1[[#This Row],[Admission_Days]]&lt;=10, "Short-term (6-10)",
IF(Table1[[#This Row],[Admission_Days]]&lt;=15, "Medium-term (11-15)", "Long-term (16-20)")))</f>
        <v>Medium-term (11-15)</v>
      </c>
      <c r="H53" t="s">
        <v>15</v>
      </c>
      <c r="I53">
        <v>4</v>
      </c>
      <c r="J53">
        <v>8</v>
      </c>
      <c r="K53" s="1">
        <v>400000</v>
      </c>
      <c r="L53" t="str">
        <f>IF(Table1[[#This Row],[Surgery_Cost_NGN]]&gt;0, "Yes", "No")</f>
        <v>Yes</v>
      </c>
      <c r="M53" s="1">
        <v>691411</v>
      </c>
      <c r="N53" t="str">
        <f>IF(Table1[[#This Row],[Surgery_Cost_NGN]]&gt;Table1[[#This Row],[Bill_Amount_NGN]], "Anomaly detected", "Valid")</f>
        <v>Valid</v>
      </c>
      <c r="O53" s="1">
        <f t="shared" si="0"/>
        <v>57.852709893247287</v>
      </c>
    </row>
    <row r="54" spans="1:15" x14ac:dyDescent="0.35">
      <c r="A54" t="s">
        <v>116</v>
      </c>
      <c r="B54" t="s">
        <v>10</v>
      </c>
      <c r="C54">
        <v>37</v>
      </c>
      <c r="D54" t="str">
        <f>IF(Table1[[#This Row],[Age]]&lt;=4, "Toddler (0-4)",
IF(Table1[[#This Row],[Age]]&lt;=12, "Child (5-12)",
IF(Table1[[#This Row],[Age]]&lt;=19, "Adolescent (13-19)",
IF(Table1[[#This Row],[Age]]&lt;=35, "Young adult (20-35)",
IF(Table1[[#This Row],[Age]]&lt;=59, "Adult (36-59)", "Elderly (60-90)")))))</f>
        <v>Adult (36-59)</v>
      </c>
      <c r="E54" t="s">
        <v>22</v>
      </c>
      <c r="F54">
        <v>18</v>
      </c>
      <c r="G54" t="str">
        <f>IF(Table1[[#This Row],[Admission_Days]]&lt;=5, "Immediate (1-5)",
IF(Table1[[#This Row],[Admission_Days]]&lt;=10, "Short-term (6-10)",
IF(Table1[[#This Row],[Admission_Days]]&lt;=15, "Medium-term (11-15)", "Long-term (16-20)")))</f>
        <v>Long-term (16-20)</v>
      </c>
      <c r="H54" t="s">
        <v>17</v>
      </c>
      <c r="I54">
        <v>5</v>
      </c>
      <c r="J54">
        <v>3</v>
      </c>
      <c r="K54" s="1">
        <v>0</v>
      </c>
      <c r="L54" t="str">
        <f>IF(Table1[[#This Row],[Surgery_Cost_NGN]]&gt;0, "Yes", "No")</f>
        <v>No</v>
      </c>
      <c r="M54" s="1">
        <v>259721</v>
      </c>
      <c r="N54" t="str">
        <f>IF(Table1[[#This Row],[Surgery_Cost_NGN]]&gt;Table1[[#This Row],[Bill_Amount_NGN]], "Anomaly detected", "Valid")</f>
        <v>Valid</v>
      </c>
      <c r="O54" s="1">
        <f t="shared" si="0"/>
        <v>0</v>
      </c>
    </row>
    <row r="55" spans="1:15" x14ac:dyDescent="0.35">
      <c r="A55" t="s">
        <v>117</v>
      </c>
      <c r="B55" t="s">
        <v>13</v>
      </c>
      <c r="C55">
        <v>32</v>
      </c>
      <c r="D55" t="str">
        <f>IF(Table1[[#This Row],[Age]]&lt;=4, "Toddler (0-4)",
IF(Table1[[#This Row],[Age]]&lt;=12, "Child (5-12)",
IF(Table1[[#This Row],[Age]]&lt;=19, "Adolescent (13-19)",
IF(Table1[[#This Row],[Age]]&lt;=35, "Young adult (20-35)",
IF(Table1[[#This Row],[Age]]&lt;=59, "Adult (36-59)", "Elderly (60-90)")))))</f>
        <v>Young adult (20-35)</v>
      </c>
      <c r="E55" t="s">
        <v>22</v>
      </c>
      <c r="F55">
        <v>6</v>
      </c>
      <c r="G55" t="str">
        <f>IF(Table1[[#This Row],[Admission_Days]]&lt;=5, "Immediate (1-5)",
IF(Table1[[#This Row],[Admission_Days]]&lt;=10, "Short-term (6-10)",
IF(Table1[[#This Row],[Admission_Days]]&lt;=15, "Medium-term (11-15)", "Long-term (16-20)")))</f>
        <v>Short-term (6-10)</v>
      </c>
      <c r="H55" t="s">
        <v>18</v>
      </c>
      <c r="I55">
        <v>1</v>
      </c>
      <c r="J55">
        <v>6</v>
      </c>
      <c r="K55" s="1">
        <v>150000</v>
      </c>
      <c r="L55" t="str">
        <f>IF(Table1[[#This Row],[Surgery_Cost_NGN]]&gt;0, "Yes", "No")</f>
        <v>Yes</v>
      </c>
      <c r="M55" s="1">
        <v>302799</v>
      </c>
      <c r="N55" t="str">
        <f>IF(Table1[[#This Row],[Surgery_Cost_NGN]]&gt;Table1[[#This Row],[Bill_Amount_NGN]], "Anomaly detected", "Valid")</f>
        <v>Valid</v>
      </c>
      <c r="O55" s="1">
        <f t="shared" si="0"/>
        <v>49.537812212061468</v>
      </c>
    </row>
    <row r="56" spans="1:15" x14ac:dyDescent="0.35">
      <c r="A56" t="s">
        <v>118</v>
      </c>
      <c r="B56" t="s">
        <v>10</v>
      </c>
      <c r="C56">
        <v>9</v>
      </c>
      <c r="D56" t="str">
        <f>IF(Table1[[#This Row],[Age]]&lt;=4, "Toddler (0-4)",
IF(Table1[[#This Row],[Age]]&lt;=12, "Child (5-12)",
IF(Table1[[#This Row],[Age]]&lt;=19, "Adolescent (13-19)",
IF(Table1[[#This Row],[Age]]&lt;=35, "Young adult (20-35)",
IF(Table1[[#This Row],[Age]]&lt;=59, "Adult (36-59)", "Elderly (60-90)")))))</f>
        <v>Child (5-12)</v>
      </c>
      <c r="E56" t="s">
        <v>20</v>
      </c>
      <c r="F56">
        <v>3</v>
      </c>
      <c r="G56" t="str">
        <f>IF(Table1[[#This Row],[Admission_Days]]&lt;=5, "Immediate (1-5)",
IF(Table1[[#This Row],[Admission_Days]]&lt;=10, "Short-term (6-10)",
IF(Table1[[#This Row],[Admission_Days]]&lt;=15, "Medium-term (11-15)", "Long-term (16-20)")))</f>
        <v>Immediate (1-5)</v>
      </c>
      <c r="H56" t="s">
        <v>12</v>
      </c>
      <c r="I56">
        <v>2</v>
      </c>
      <c r="J56">
        <v>9</v>
      </c>
      <c r="K56" s="1">
        <v>250000</v>
      </c>
      <c r="L56" t="str">
        <f>IF(Table1[[#This Row],[Surgery_Cost_NGN]]&gt;0, "Yes", "No")</f>
        <v>Yes</v>
      </c>
      <c r="M56" s="1">
        <v>366907</v>
      </c>
      <c r="N56" t="str">
        <f>IF(Table1[[#This Row],[Surgery_Cost_NGN]]&gt;Table1[[#This Row],[Bill_Amount_NGN]], "Anomaly detected", "Valid")</f>
        <v>Valid</v>
      </c>
      <c r="O56" s="1">
        <f t="shared" si="0"/>
        <v>68.137157372304159</v>
      </c>
    </row>
    <row r="57" spans="1:15" x14ac:dyDescent="0.35">
      <c r="A57" t="s">
        <v>119</v>
      </c>
      <c r="B57" t="s">
        <v>13</v>
      </c>
      <c r="C57">
        <v>19</v>
      </c>
      <c r="D57" t="str">
        <f>IF(Table1[[#This Row],[Age]]&lt;=4, "Toddler (0-4)",
IF(Table1[[#This Row],[Age]]&lt;=12, "Child (5-12)",
IF(Table1[[#This Row],[Age]]&lt;=19, "Adolescent (13-19)",
IF(Table1[[#This Row],[Age]]&lt;=35, "Young adult (20-35)",
IF(Table1[[#This Row],[Age]]&lt;=59, "Adult (36-59)", "Elderly (60-90)")))))</f>
        <v>Adolescent (13-19)</v>
      </c>
      <c r="E57" t="s">
        <v>14</v>
      </c>
      <c r="F57">
        <v>19</v>
      </c>
      <c r="G57" t="str">
        <f>IF(Table1[[#This Row],[Admission_Days]]&lt;=5, "Immediate (1-5)",
IF(Table1[[#This Row],[Admission_Days]]&lt;=10, "Short-term (6-10)",
IF(Table1[[#This Row],[Admission_Days]]&lt;=15, "Medium-term (11-15)", "Long-term (16-20)")))</f>
        <v>Long-term (16-20)</v>
      </c>
      <c r="H57" t="s">
        <v>15</v>
      </c>
      <c r="I57">
        <v>1</v>
      </c>
      <c r="J57">
        <v>6</v>
      </c>
      <c r="K57" s="1">
        <v>0</v>
      </c>
      <c r="L57" t="str">
        <f>IF(Table1[[#This Row],[Surgery_Cost_NGN]]&gt;0, "Yes", "No")</f>
        <v>No</v>
      </c>
      <c r="M57" s="1">
        <v>251095</v>
      </c>
      <c r="N57" t="str">
        <f>IF(Table1[[#This Row],[Surgery_Cost_NGN]]&gt;Table1[[#This Row],[Bill_Amount_NGN]], "Anomaly detected", "Valid")</f>
        <v>Valid</v>
      </c>
      <c r="O57" s="1">
        <f t="shared" si="0"/>
        <v>0</v>
      </c>
    </row>
    <row r="58" spans="1:15" x14ac:dyDescent="0.35">
      <c r="A58" t="s">
        <v>120</v>
      </c>
      <c r="B58" t="s">
        <v>13</v>
      </c>
      <c r="C58">
        <v>48</v>
      </c>
      <c r="D58" t="str">
        <f>IF(Table1[[#This Row],[Age]]&lt;=4, "Toddler (0-4)",
IF(Table1[[#This Row],[Age]]&lt;=12, "Child (5-12)",
IF(Table1[[#This Row],[Age]]&lt;=19, "Adolescent (13-19)",
IF(Table1[[#This Row],[Age]]&lt;=35, "Young adult (20-35)",
IF(Table1[[#This Row],[Age]]&lt;=59, "Adult (36-59)", "Elderly (60-90)")))))</f>
        <v>Adult (36-59)</v>
      </c>
      <c r="E58" t="s">
        <v>11</v>
      </c>
      <c r="F58">
        <v>15</v>
      </c>
      <c r="G58" t="str">
        <f>IF(Table1[[#This Row],[Admission_Days]]&lt;=5, "Immediate (1-5)",
IF(Table1[[#This Row],[Admission_Days]]&lt;=10, "Short-term (6-10)",
IF(Table1[[#This Row],[Admission_Days]]&lt;=15, "Medium-term (11-15)", "Long-term (16-20)")))</f>
        <v>Medium-term (11-15)</v>
      </c>
      <c r="H58" t="s">
        <v>17</v>
      </c>
      <c r="I58">
        <v>0</v>
      </c>
      <c r="J58">
        <v>9</v>
      </c>
      <c r="K58" s="1">
        <v>600000</v>
      </c>
      <c r="L58" t="str">
        <f>IF(Table1[[#This Row],[Surgery_Cost_NGN]]&gt;0, "Yes", "No")</f>
        <v>Yes</v>
      </c>
      <c r="M58" s="1">
        <v>763554</v>
      </c>
      <c r="N58" t="str">
        <f>IF(Table1[[#This Row],[Surgery_Cost_NGN]]&gt;Table1[[#This Row],[Bill_Amount_NGN]], "Anomaly detected", "Valid")</f>
        <v>Valid</v>
      </c>
      <c r="O58" s="1">
        <f t="shared" si="0"/>
        <v>78.57990397535734</v>
      </c>
    </row>
    <row r="59" spans="1:15" x14ac:dyDescent="0.35">
      <c r="A59" t="s">
        <v>121</v>
      </c>
      <c r="B59" t="s">
        <v>10</v>
      </c>
      <c r="C59">
        <v>80</v>
      </c>
      <c r="D59" t="str">
        <f>IF(Table1[[#This Row],[Age]]&lt;=4, "Toddler (0-4)",
IF(Table1[[#This Row],[Age]]&lt;=12, "Child (5-12)",
IF(Table1[[#This Row],[Age]]&lt;=19, "Adolescent (13-19)",
IF(Table1[[#This Row],[Age]]&lt;=35, "Young adult (20-35)",
IF(Table1[[#This Row],[Age]]&lt;=59, "Adult (36-59)", "Elderly (60-90)")))))</f>
        <v>Elderly (60-90)</v>
      </c>
      <c r="E59" t="s">
        <v>19</v>
      </c>
      <c r="F59">
        <v>5</v>
      </c>
      <c r="G59" t="str">
        <f>IF(Table1[[#This Row],[Admission_Days]]&lt;=5, "Immediate (1-5)",
IF(Table1[[#This Row],[Admission_Days]]&lt;=10, "Short-term (6-10)",
IF(Table1[[#This Row],[Admission_Days]]&lt;=15, "Medium-term (11-15)", "Long-term (16-20)")))</f>
        <v>Immediate (1-5)</v>
      </c>
      <c r="H59" t="s">
        <v>21</v>
      </c>
      <c r="I59">
        <v>1</v>
      </c>
      <c r="J59">
        <v>7</v>
      </c>
      <c r="K59" s="1">
        <v>0</v>
      </c>
      <c r="L59" t="str">
        <f>IF(Table1[[#This Row],[Surgery_Cost_NGN]]&gt;0, "Yes", "No")</f>
        <v>No</v>
      </c>
      <c r="M59" s="1">
        <v>0</v>
      </c>
      <c r="N59" t="str">
        <f>IF(Table1[[#This Row],[Surgery_Cost_NGN]]&gt;Table1[[#This Row],[Bill_Amount_NGN]], "Anomaly detected", "Valid")</f>
        <v>Valid</v>
      </c>
      <c r="O59" s="1">
        <f t="shared" si="0"/>
        <v>0</v>
      </c>
    </row>
    <row r="60" spans="1:15" x14ac:dyDescent="0.35">
      <c r="A60" t="s">
        <v>122</v>
      </c>
      <c r="B60" t="s">
        <v>10</v>
      </c>
      <c r="C60">
        <v>3</v>
      </c>
      <c r="D60" t="str">
        <f>IF(Table1[[#This Row],[Age]]&lt;=4, "Toddler (0-4)",
IF(Table1[[#This Row],[Age]]&lt;=12, "Child (5-12)",
IF(Table1[[#This Row],[Age]]&lt;=19, "Adolescent (13-19)",
IF(Table1[[#This Row],[Age]]&lt;=35, "Young adult (20-35)",
IF(Table1[[#This Row],[Age]]&lt;=59, "Adult (36-59)", "Elderly (60-90)")))))</f>
        <v>Toddler (0-4)</v>
      </c>
      <c r="E60" t="s">
        <v>19</v>
      </c>
      <c r="F60">
        <v>10</v>
      </c>
      <c r="G60" t="str">
        <f>IF(Table1[[#This Row],[Admission_Days]]&lt;=5, "Immediate (1-5)",
IF(Table1[[#This Row],[Admission_Days]]&lt;=10, "Short-term (6-10)",
IF(Table1[[#This Row],[Admission_Days]]&lt;=15, "Medium-term (11-15)", "Long-term (16-20)")))</f>
        <v>Short-term (6-10)</v>
      </c>
      <c r="H60" t="s">
        <v>12</v>
      </c>
      <c r="I60">
        <v>0</v>
      </c>
      <c r="J60">
        <v>9</v>
      </c>
      <c r="K60" s="1">
        <v>250000</v>
      </c>
      <c r="L60" t="str">
        <f>IF(Table1[[#This Row],[Surgery_Cost_NGN]]&gt;0, "Yes", "No")</f>
        <v>Yes</v>
      </c>
      <c r="M60" s="1">
        <v>432532</v>
      </c>
      <c r="N60" t="str">
        <f>IF(Table1[[#This Row],[Surgery_Cost_NGN]]&gt;Table1[[#This Row],[Bill_Amount_NGN]], "Anomaly detected", "Valid")</f>
        <v>Valid</v>
      </c>
      <c r="O60" s="1">
        <f t="shared" si="0"/>
        <v>57.799191736102763</v>
      </c>
    </row>
    <row r="61" spans="1:15" x14ac:dyDescent="0.35">
      <c r="A61" t="s">
        <v>123</v>
      </c>
      <c r="B61" t="s">
        <v>10</v>
      </c>
      <c r="C61">
        <v>20</v>
      </c>
      <c r="D61" t="str">
        <f>IF(Table1[[#This Row],[Age]]&lt;=4, "Toddler (0-4)",
IF(Table1[[#This Row],[Age]]&lt;=12, "Child (5-12)",
IF(Table1[[#This Row],[Age]]&lt;=19, "Adolescent (13-19)",
IF(Table1[[#This Row],[Age]]&lt;=35, "Young adult (20-35)",
IF(Table1[[#This Row],[Age]]&lt;=59, "Adult (36-59)", "Elderly (60-90)")))))</f>
        <v>Young adult (20-35)</v>
      </c>
      <c r="E61" t="s">
        <v>11</v>
      </c>
      <c r="F61">
        <v>7</v>
      </c>
      <c r="G61" t="str">
        <f>IF(Table1[[#This Row],[Admission_Days]]&lt;=5, "Immediate (1-5)",
IF(Table1[[#This Row],[Admission_Days]]&lt;=10, "Short-term (6-10)",
IF(Table1[[#This Row],[Admission_Days]]&lt;=15, "Medium-term (11-15)", "Long-term (16-20)")))</f>
        <v>Short-term (6-10)</v>
      </c>
      <c r="H61" t="s">
        <v>18</v>
      </c>
      <c r="I61">
        <v>0</v>
      </c>
      <c r="J61">
        <v>2</v>
      </c>
      <c r="K61" s="1">
        <v>600000</v>
      </c>
      <c r="L61" t="str">
        <f>IF(Table1[[#This Row],[Surgery_Cost_NGN]]&gt;0, "Yes", "No")</f>
        <v>Yes</v>
      </c>
      <c r="M61" s="1">
        <v>702836</v>
      </c>
      <c r="N61" t="str">
        <f>IF(Table1[[#This Row],[Surgery_Cost_NGN]]&gt;Table1[[#This Row],[Bill_Amount_NGN]], "Anomaly detected", "Valid")</f>
        <v>Valid</v>
      </c>
      <c r="O61" s="1">
        <f t="shared" si="0"/>
        <v>85.368421651708232</v>
      </c>
    </row>
    <row r="62" spans="1:15" x14ac:dyDescent="0.35">
      <c r="A62" t="s">
        <v>124</v>
      </c>
      <c r="B62" t="s">
        <v>10</v>
      </c>
      <c r="C62">
        <v>24</v>
      </c>
      <c r="D62" t="str">
        <f>IF(Table1[[#This Row],[Age]]&lt;=4, "Toddler (0-4)",
IF(Table1[[#This Row],[Age]]&lt;=12, "Child (5-12)",
IF(Table1[[#This Row],[Age]]&lt;=19, "Adolescent (13-19)",
IF(Table1[[#This Row],[Age]]&lt;=35, "Young adult (20-35)",
IF(Table1[[#This Row],[Age]]&lt;=59, "Adult (36-59)", "Elderly (60-90)")))))</f>
        <v>Young adult (20-35)</v>
      </c>
      <c r="E62" t="s">
        <v>22</v>
      </c>
      <c r="F62">
        <v>17</v>
      </c>
      <c r="G62" t="str">
        <f>IF(Table1[[#This Row],[Admission_Days]]&lt;=5, "Immediate (1-5)",
IF(Table1[[#This Row],[Admission_Days]]&lt;=10, "Short-term (6-10)",
IF(Table1[[#This Row],[Admission_Days]]&lt;=15, "Medium-term (11-15)", "Long-term (16-20)")))</f>
        <v>Long-term (16-20)</v>
      </c>
      <c r="H62" t="s">
        <v>18</v>
      </c>
      <c r="I62">
        <v>1</v>
      </c>
      <c r="J62">
        <v>8</v>
      </c>
      <c r="K62" s="1">
        <v>420000</v>
      </c>
      <c r="L62" t="str">
        <f>IF(Table1[[#This Row],[Surgery_Cost_NGN]]&gt;0, "Yes", "No")</f>
        <v>Yes</v>
      </c>
      <c r="M62" s="1">
        <v>240000</v>
      </c>
      <c r="N62" t="str">
        <f>IF(Table1[[#This Row],[Surgery_Cost_NGN]]&gt;Table1[[#This Row],[Bill_Amount_NGN]], "Anomaly detected", "Valid")</f>
        <v>Anomaly detected</v>
      </c>
      <c r="O62" s="1">
        <f t="shared" si="0"/>
        <v>175</v>
      </c>
    </row>
    <row r="63" spans="1:15" x14ac:dyDescent="0.35">
      <c r="A63" t="s">
        <v>125</v>
      </c>
      <c r="B63" t="s">
        <v>10</v>
      </c>
      <c r="C63">
        <v>54</v>
      </c>
      <c r="D63" t="str">
        <f>IF(Table1[[#This Row],[Age]]&lt;=4, "Toddler (0-4)",
IF(Table1[[#This Row],[Age]]&lt;=12, "Child (5-12)",
IF(Table1[[#This Row],[Age]]&lt;=19, "Adolescent (13-19)",
IF(Table1[[#This Row],[Age]]&lt;=35, "Young adult (20-35)",
IF(Table1[[#This Row],[Age]]&lt;=59, "Adult (36-59)", "Elderly (60-90)")))))</f>
        <v>Adult (36-59)</v>
      </c>
      <c r="E63" t="s">
        <v>14</v>
      </c>
      <c r="F63">
        <v>7</v>
      </c>
      <c r="G63" t="str">
        <f>IF(Table1[[#This Row],[Admission_Days]]&lt;=5, "Immediate (1-5)",
IF(Table1[[#This Row],[Admission_Days]]&lt;=10, "Short-term (6-10)",
IF(Table1[[#This Row],[Admission_Days]]&lt;=15, "Medium-term (11-15)", "Long-term (16-20)")))</f>
        <v>Short-term (6-10)</v>
      </c>
      <c r="H63" t="s">
        <v>12</v>
      </c>
      <c r="I63">
        <v>2</v>
      </c>
      <c r="J63">
        <v>8</v>
      </c>
      <c r="K63" s="1">
        <v>400000</v>
      </c>
      <c r="L63" t="str">
        <f>IF(Table1[[#This Row],[Surgery_Cost_NGN]]&gt;0, "Yes", "No")</f>
        <v>Yes</v>
      </c>
      <c r="M63" s="1">
        <v>503675</v>
      </c>
      <c r="N63" t="str">
        <f>IF(Table1[[#This Row],[Surgery_Cost_NGN]]&gt;Table1[[#This Row],[Bill_Amount_NGN]], "Anomaly detected", "Valid")</f>
        <v>Valid</v>
      </c>
      <c r="O63" s="1">
        <f t="shared" si="0"/>
        <v>79.416290266540926</v>
      </c>
    </row>
    <row r="64" spans="1:15" x14ac:dyDescent="0.35">
      <c r="A64" t="s">
        <v>126</v>
      </c>
      <c r="B64" t="s">
        <v>10</v>
      </c>
      <c r="C64">
        <v>33</v>
      </c>
      <c r="D64" t="str">
        <f>IF(Table1[[#This Row],[Age]]&lt;=4, "Toddler (0-4)",
IF(Table1[[#This Row],[Age]]&lt;=12, "Child (5-12)",
IF(Table1[[#This Row],[Age]]&lt;=19, "Adolescent (13-19)",
IF(Table1[[#This Row],[Age]]&lt;=35, "Young adult (20-35)",
IF(Table1[[#This Row],[Age]]&lt;=59, "Adult (36-59)", "Elderly (60-90)")))))</f>
        <v>Young adult (20-35)</v>
      </c>
      <c r="E64" t="s">
        <v>22</v>
      </c>
      <c r="F64">
        <v>12</v>
      </c>
      <c r="G64" t="str">
        <f>IF(Table1[[#This Row],[Admission_Days]]&lt;=5, "Immediate (1-5)",
IF(Table1[[#This Row],[Admission_Days]]&lt;=10, "Short-term (6-10)",
IF(Table1[[#This Row],[Admission_Days]]&lt;=15, "Medium-term (11-15)", "Long-term (16-20)")))</f>
        <v>Medium-term (11-15)</v>
      </c>
      <c r="H64" t="s">
        <v>18</v>
      </c>
      <c r="I64">
        <v>5</v>
      </c>
      <c r="J64">
        <v>2</v>
      </c>
      <c r="K64" s="1">
        <v>250000</v>
      </c>
      <c r="L64" t="str">
        <f>IF(Table1[[#This Row],[Surgery_Cost_NGN]]&gt;0, "Yes", "No")</f>
        <v>Yes</v>
      </c>
      <c r="M64" s="1">
        <v>406475</v>
      </c>
      <c r="N64" t="str">
        <f>IF(Table1[[#This Row],[Surgery_Cost_NGN]]&gt;Table1[[#This Row],[Bill_Amount_NGN]], "Anomaly detected", "Valid")</f>
        <v>Valid</v>
      </c>
      <c r="O64" s="1">
        <f t="shared" si="0"/>
        <v>61.504397564425858</v>
      </c>
    </row>
    <row r="65" spans="1:15" x14ac:dyDescent="0.35">
      <c r="A65" t="s">
        <v>127</v>
      </c>
      <c r="B65" t="s">
        <v>10</v>
      </c>
      <c r="C65">
        <v>24</v>
      </c>
      <c r="D65" t="str">
        <f>IF(Table1[[#This Row],[Age]]&lt;=4, "Toddler (0-4)",
IF(Table1[[#This Row],[Age]]&lt;=12, "Child (5-12)",
IF(Table1[[#This Row],[Age]]&lt;=19, "Adolescent (13-19)",
IF(Table1[[#This Row],[Age]]&lt;=35, "Young adult (20-35)",
IF(Table1[[#This Row],[Age]]&lt;=59, "Adult (36-59)", "Elderly (60-90)")))))</f>
        <v>Young adult (20-35)</v>
      </c>
      <c r="E65" t="s">
        <v>16</v>
      </c>
      <c r="F65">
        <v>17</v>
      </c>
      <c r="G65" t="str">
        <f>IF(Table1[[#This Row],[Admission_Days]]&lt;=5, "Immediate (1-5)",
IF(Table1[[#This Row],[Admission_Days]]&lt;=10, "Short-term (6-10)",
IF(Table1[[#This Row],[Admission_Days]]&lt;=15, "Medium-term (11-15)", "Long-term (16-20)")))</f>
        <v>Long-term (16-20)</v>
      </c>
      <c r="H65" t="s">
        <v>15</v>
      </c>
      <c r="I65">
        <v>4</v>
      </c>
      <c r="J65">
        <v>4</v>
      </c>
      <c r="K65" s="1">
        <v>400000</v>
      </c>
      <c r="L65" t="str">
        <f>IF(Table1[[#This Row],[Surgery_Cost_NGN]]&gt;0, "Yes", "No")</f>
        <v>Yes</v>
      </c>
      <c r="M65" s="1">
        <v>586749</v>
      </c>
      <c r="N65" t="str">
        <f>IF(Table1[[#This Row],[Surgery_Cost_NGN]]&gt;Table1[[#This Row],[Bill_Amount_NGN]], "Anomaly detected", "Valid")</f>
        <v>Valid</v>
      </c>
      <c r="O65" s="1">
        <f t="shared" si="0"/>
        <v>68.172250826162468</v>
      </c>
    </row>
    <row r="66" spans="1:15" x14ac:dyDescent="0.35">
      <c r="A66" t="s">
        <v>128</v>
      </c>
      <c r="B66" t="s">
        <v>10</v>
      </c>
      <c r="C66">
        <v>75</v>
      </c>
      <c r="D66" t="str">
        <f>IF(Table1[[#This Row],[Age]]&lt;=4, "Toddler (0-4)",
IF(Table1[[#This Row],[Age]]&lt;=12, "Child (5-12)",
IF(Table1[[#This Row],[Age]]&lt;=19, "Adolescent (13-19)",
IF(Table1[[#This Row],[Age]]&lt;=35, "Young adult (20-35)",
IF(Table1[[#This Row],[Age]]&lt;=59, "Adult (36-59)", "Elderly (60-90)")))))</f>
        <v>Elderly (60-90)</v>
      </c>
      <c r="E66" t="s">
        <v>22</v>
      </c>
      <c r="F66">
        <v>13</v>
      </c>
      <c r="G66" t="str">
        <f>IF(Table1[[#This Row],[Admission_Days]]&lt;=5, "Immediate (1-5)",
IF(Table1[[#This Row],[Admission_Days]]&lt;=10, "Short-term (6-10)",
IF(Table1[[#This Row],[Admission_Days]]&lt;=15, "Medium-term (11-15)", "Long-term (16-20)")))</f>
        <v>Medium-term (11-15)</v>
      </c>
      <c r="H66" t="s">
        <v>17</v>
      </c>
      <c r="I66">
        <v>4</v>
      </c>
      <c r="J66">
        <v>7</v>
      </c>
      <c r="K66" s="1">
        <v>150000</v>
      </c>
      <c r="L66" t="str">
        <f>IF(Table1[[#This Row],[Surgery_Cost_NGN]]&gt;0, "Yes", "No")</f>
        <v>Yes</v>
      </c>
      <c r="M66" s="1">
        <v>445414</v>
      </c>
      <c r="N66" t="str">
        <f>IF(Table1[[#This Row],[Surgery_Cost_NGN]]&gt;Table1[[#This Row],[Bill_Amount_NGN]], "Anomaly detected", "Valid")</f>
        <v>Valid</v>
      </c>
      <c r="O66" s="1">
        <f t="shared" ref="O66:O129" si="1">IF(M66=0, 0, K66/M66*100)</f>
        <v>33.676534639683531</v>
      </c>
    </row>
    <row r="67" spans="1:15" x14ac:dyDescent="0.35">
      <c r="A67" t="s">
        <v>129</v>
      </c>
      <c r="B67" t="s">
        <v>13</v>
      </c>
      <c r="C67">
        <v>72</v>
      </c>
      <c r="D67" t="str">
        <f>IF(Table1[[#This Row],[Age]]&lt;=4, "Toddler (0-4)",
IF(Table1[[#This Row],[Age]]&lt;=12, "Child (5-12)",
IF(Table1[[#This Row],[Age]]&lt;=19, "Adolescent (13-19)",
IF(Table1[[#This Row],[Age]]&lt;=35, "Young adult (20-35)",
IF(Table1[[#This Row],[Age]]&lt;=59, "Adult (36-59)", "Elderly (60-90)")))))</f>
        <v>Elderly (60-90)</v>
      </c>
      <c r="E67" t="s">
        <v>22</v>
      </c>
      <c r="F67">
        <v>20</v>
      </c>
      <c r="G67" t="str">
        <f>IF(Table1[[#This Row],[Admission_Days]]&lt;=5, "Immediate (1-5)",
IF(Table1[[#This Row],[Admission_Days]]&lt;=10, "Short-term (6-10)",
IF(Table1[[#This Row],[Admission_Days]]&lt;=15, "Medium-term (11-15)", "Long-term (16-20)")))</f>
        <v>Long-term (16-20)</v>
      </c>
      <c r="H67" t="s">
        <v>15</v>
      </c>
      <c r="I67">
        <v>5</v>
      </c>
      <c r="J67">
        <v>4</v>
      </c>
      <c r="K67" s="1">
        <v>0</v>
      </c>
      <c r="L67" t="str">
        <f>IF(Table1[[#This Row],[Surgery_Cost_NGN]]&gt;0, "Yes", "No")</f>
        <v>No</v>
      </c>
      <c r="M67" s="1">
        <v>296838</v>
      </c>
      <c r="N67" t="str">
        <f>IF(Table1[[#This Row],[Surgery_Cost_NGN]]&gt;Table1[[#This Row],[Bill_Amount_NGN]], "Anomaly detected", "Valid")</f>
        <v>Valid</v>
      </c>
      <c r="O67" s="1">
        <f t="shared" si="1"/>
        <v>0</v>
      </c>
    </row>
    <row r="68" spans="1:15" x14ac:dyDescent="0.35">
      <c r="A68" t="s">
        <v>130</v>
      </c>
      <c r="B68" t="s">
        <v>13</v>
      </c>
      <c r="C68">
        <v>36</v>
      </c>
      <c r="D68" t="str">
        <f>IF(Table1[[#This Row],[Age]]&lt;=4, "Toddler (0-4)",
IF(Table1[[#This Row],[Age]]&lt;=12, "Child (5-12)",
IF(Table1[[#This Row],[Age]]&lt;=19, "Adolescent (13-19)",
IF(Table1[[#This Row],[Age]]&lt;=35, "Young adult (20-35)",
IF(Table1[[#This Row],[Age]]&lt;=59, "Adult (36-59)", "Elderly (60-90)")))))</f>
        <v>Adult (36-59)</v>
      </c>
      <c r="E68" t="s">
        <v>11</v>
      </c>
      <c r="F68">
        <v>4</v>
      </c>
      <c r="G68" t="str">
        <f>IF(Table1[[#This Row],[Admission_Days]]&lt;=5, "Immediate (1-5)",
IF(Table1[[#This Row],[Admission_Days]]&lt;=10, "Short-term (6-10)",
IF(Table1[[#This Row],[Admission_Days]]&lt;=15, "Medium-term (11-15)", "Long-term (16-20)")))</f>
        <v>Immediate (1-5)</v>
      </c>
      <c r="H68" t="s">
        <v>18</v>
      </c>
      <c r="I68">
        <v>0</v>
      </c>
      <c r="J68">
        <v>4</v>
      </c>
      <c r="K68" s="1">
        <v>0</v>
      </c>
      <c r="L68" t="str">
        <f>IF(Table1[[#This Row],[Surgery_Cost_NGN]]&gt;0, "Yes", "No")</f>
        <v>No</v>
      </c>
      <c r="M68" s="1">
        <v>66624</v>
      </c>
      <c r="N68" t="str">
        <f>IF(Table1[[#This Row],[Surgery_Cost_NGN]]&gt;Table1[[#This Row],[Bill_Amount_NGN]], "Anomaly detected", "Valid")</f>
        <v>Valid</v>
      </c>
      <c r="O68" s="1">
        <f t="shared" si="1"/>
        <v>0</v>
      </c>
    </row>
    <row r="69" spans="1:15" x14ac:dyDescent="0.35">
      <c r="A69" t="s">
        <v>131</v>
      </c>
      <c r="B69" t="s">
        <v>10</v>
      </c>
      <c r="C69">
        <v>38</v>
      </c>
      <c r="D69" t="str">
        <f>IF(Table1[[#This Row],[Age]]&lt;=4, "Toddler (0-4)",
IF(Table1[[#This Row],[Age]]&lt;=12, "Child (5-12)",
IF(Table1[[#This Row],[Age]]&lt;=19, "Adolescent (13-19)",
IF(Table1[[#This Row],[Age]]&lt;=35, "Young adult (20-35)",
IF(Table1[[#This Row],[Age]]&lt;=59, "Adult (36-59)", "Elderly (60-90)")))))</f>
        <v>Adult (36-59)</v>
      </c>
      <c r="E69" t="s">
        <v>11</v>
      </c>
      <c r="F69">
        <v>10</v>
      </c>
      <c r="G69" t="str">
        <f>IF(Table1[[#This Row],[Admission_Days]]&lt;=5, "Immediate (1-5)",
IF(Table1[[#This Row],[Admission_Days]]&lt;=10, "Short-term (6-10)",
IF(Table1[[#This Row],[Admission_Days]]&lt;=15, "Medium-term (11-15)", "Long-term (16-20)")))</f>
        <v>Short-term (6-10)</v>
      </c>
      <c r="H69" t="s">
        <v>21</v>
      </c>
      <c r="I69">
        <v>0</v>
      </c>
      <c r="J69">
        <v>6</v>
      </c>
      <c r="K69" s="1">
        <v>0</v>
      </c>
      <c r="L69" t="str">
        <f>IF(Table1[[#This Row],[Surgery_Cost_NGN]]&gt;0, "Yes", "No")</f>
        <v>No</v>
      </c>
      <c r="M69" s="1">
        <v>126352</v>
      </c>
      <c r="N69" t="str">
        <f>IF(Table1[[#This Row],[Surgery_Cost_NGN]]&gt;Table1[[#This Row],[Bill_Amount_NGN]], "Anomaly detected", "Valid")</f>
        <v>Valid</v>
      </c>
      <c r="O69" s="1">
        <f t="shared" si="1"/>
        <v>0</v>
      </c>
    </row>
    <row r="70" spans="1:15" x14ac:dyDescent="0.35">
      <c r="A70" t="s">
        <v>132</v>
      </c>
      <c r="B70" t="s">
        <v>13</v>
      </c>
      <c r="C70">
        <v>84</v>
      </c>
      <c r="D70" t="str">
        <f>IF(Table1[[#This Row],[Age]]&lt;=4, "Toddler (0-4)",
IF(Table1[[#This Row],[Age]]&lt;=12, "Child (5-12)",
IF(Table1[[#This Row],[Age]]&lt;=19, "Adolescent (13-19)",
IF(Table1[[#This Row],[Age]]&lt;=35, "Young adult (20-35)",
IF(Table1[[#This Row],[Age]]&lt;=59, "Adult (36-59)", "Elderly (60-90)")))))</f>
        <v>Elderly (60-90)</v>
      </c>
      <c r="E70" t="s">
        <v>11</v>
      </c>
      <c r="F70">
        <v>3</v>
      </c>
      <c r="G70" t="str">
        <f>IF(Table1[[#This Row],[Admission_Days]]&lt;=5, "Immediate (1-5)",
IF(Table1[[#This Row],[Admission_Days]]&lt;=10, "Short-term (6-10)",
IF(Table1[[#This Row],[Admission_Days]]&lt;=15, "Medium-term (11-15)", "Long-term (16-20)")))</f>
        <v>Immediate (1-5)</v>
      </c>
      <c r="H70" t="s">
        <v>17</v>
      </c>
      <c r="I70">
        <v>2</v>
      </c>
      <c r="J70">
        <v>6</v>
      </c>
      <c r="K70" s="1">
        <v>600000</v>
      </c>
      <c r="L70" t="str">
        <f>IF(Table1[[#This Row],[Surgery_Cost_NGN]]&gt;0, "Yes", "No")</f>
        <v>Yes</v>
      </c>
      <c r="M70" s="1">
        <v>701224</v>
      </c>
      <c r="N70" t="str">
        <f>IF(Table1[[#This Row],[Surgery_Cost_NGN]]&gt;Table1[[#This Row],[Bill_Amount_NGN]], "Anomaly detected", "Valid")</f>
        <v>Valid</v>
      </c>
      <c r="O70" s="1">
        <f t="shared" si="1"/>
        <v>85.564669777417762</v>
      </c>
    </row>
    <row r="71" spans="1:15" x14ac:dyDescent="0.35">
      <c r="A71" t="s">
        <v>133</v>
      </c>
      <c r="B71" t="s">
        <v>13</v>
      </c>
      <c r="C71">
        <v>25</v>
      </c>
      <c r="D71" t="str">
        <f>IF(Table1[[#This Row],[Age]]&lt;=4, "Toddler (0-4)",
IF(Table1[[#This Row],[Age]]&lt;=12, "Child (5-12)",
IF(Table1[[#This Row],[Age]]&lt;=19, "Adolescent (13-19)",
IF(Table1[[#This Row],[Age]]&lt;=35, "Young adult (20-35)",
IF(Table1[[#This Row],[Age]]&lt;=59, "Adult (36-59)", "Elderly (60-90)")))))</f>
        <v>Young adult (20-35)</v>
      </c>
      <c r="E71" t="s">
        <v>19</v>
      </c>
      <c r="F71">
        <v>9</v>
      </c>
      <c r="G71" t="str">
        <f>IF(Table1[[#This Row],[Admission_Days]]&lt;=5, "Immediate (1-5)",
IF(Table1[[#This Row],[Admission_Days]]&lt;=10, "Short-term (6-10)",
IF(Table1[[#This Row],[Admission_Days]]&lt;=15, "Medium-term (11-15)", "Long-term (16-20)")))</f>
        <v>Short-term (6-10)</v>
      </c>
      <c r="H71" t="s">
        <v>17</v>
      </c>
      <c r="I71">
        <v>3</v>
      </c>
      <c r="J71">
        <v>3</v>
      </c>
      <c r="K71" s="1">
        <v>0</v>
      </c>
      <c r="L71" t="str">
        <f>IF(Table1[[#This Row],[Surgery_Cost_NGN]]&gt;0, "Yes", "No")</f>
        <v>No</v>
      </c>
      <c r="M71" s="1">
        <v>178515</v>
      </c>
      <c r="N71" t="str">
        <f>IF(Table1[[#This Row],[Surgery_Cost_NGN]]&gt;Table1[[#This Row],[Bill_Amount_NGN]], "Anomaly detected", "Valid")</f>
        <v>Valid</v>
      </c>
      <c r="O71" s="1">
        <f t="shared" si="1"/>
        <v>0</v>
      </c>
    </row>
    <row r="72" spans="1:15" x14ac:dyDescent="0.35">
      <c r="A72" t="s">
        <v>134</v>
      </c>
      <c r="B72" t="s">
        <v>13</v>
      </c>
      <c r="C72">
        <v>18</v>
      </c>
      <c r="D72" t="str">
        <f>IF(Table1[[#This Row],[Age]]&lt;=4, "Toddler (0-4)",
IF(Table1[[#This Row],[Age]]&lt;=12, "Child (5-12)",
IF(Table1[[#This Row],[Age]]&lt;=19, "Adolescent (13-19)",
IF(Table1[[#This Row],[Age]]&lt;=35, "Young adult (20-35)",
IF(Table1[[#This Row],[Age]]&lt;=59, "Adult (36-59)", "Elderly (60-90)")))))</f>
        <v>Adolescent (13-19)</v>
      </c>
      <c r="E72" t="s">
        <v>16</v>
      </c>
      <c r="F72">
        <v>13</v>
      </c>
      <c r="G72" t="str">
        <f>IF(Table1[[#This Row],[Admission_Days]]&lt;=5, "Immediate (1-5)",
IF(Table1[[#This Row],[Admission_Days]]&lt;=10, "Short-term (6-10)",
IF(Table1[[#This Row],[Admission_Days]]&lt;=15, "Medium-term (11-15)", "Long-term (16-20)")))</f>
        <v>Medium-term (11-15)</v>
      </c>
      <c r="H72" t="s">
        <v>12</v>
      </c>
      <c r="I72">
        <v>1</v>
      </c>
      <c r="J72">
        <v>9</v>
      </c>
      <c r="K72" s="1">
        <v>0</v>
      </c>
      <c r="L72" t="str">
        <f>IF(Table1[[#This Row],[Surgery_Cost_NGN]]&gt;0, "Yes", "No")</f>
        <v>No</v>
      </c>
      <c r="M72" s="1">
        <v>183526</v>
      </c>
      <c r="N72" t="str">
        <f>IF(Table1[[#This Row],[Surgery_Cost_NGN]]&gt;Table1[[#This Row],[Bill_Amount_NGN]], "Anomaly detected", "Valid")</f>
        <v>Valid</v>
      </c>
      <c r="O72" s="1">
        <f t="shared" si="1"/>
        <v>0</v>
      </c>
    </row>
    <row r="73" spans="1:15" x14ac:dyDescent="0.35">
      <c r="A73" t="s">
        <v>135</v>
      </c>
      <c r="B73" t="s">
        <v>13</v>
      </c>
      <c r="C73">
        <v>82</v>
      </c>
      <c r="D73" t="str">
        <f>IF(Table1[[#This Row],[Age]]&lt;=4, "Toddler (0-4)",
IF(Table1[[#This Row],[Age]]&lt;=12, "Child (5-12)",
IF(Table1[[#This Row],[Age]]&lt;=19, "Adolescent (13-19)",
IF(Table1[[#This Row],[Age]]&lt;=35, "Young adult (20-35)",
IF(Table1[[#This Row],[Age]]&lt;=59, "Adult (36-59)", "Elderly (60-90)")))))</f>
        <v>Elderly (60-90)</v>
      </c>
      <c r="E73" t="s">
        <v>11</v>
      </c>
      <c r="F73">
        <v>18</v>
      </c>
      <c r="G73" t="str">
        <f>IF(Table1[[#This Row],[Admission_Days]]&lt;=5, "Immediate (1-5)",
IF(Table1[[#This Row],[Admission_Days]]&lt;=10, "Short-term (6-10)",
IF(Table1[[#This Row],[Admission_Days]]&lt;=15, "Medium-term (11-15)", "Long-term (16-20)")))</f>
        <v>Long-term (16-20)</v>
      </c>
      <c r="H73" t="s">
        <v>12</v>
      </c>
      <c r="I73">
        <v>0</v>
      </c>
      <c r="J73">
        <v>2</v>
      </c>
      <c r="K73" s="1">
        <v>0</v>
      </c>
      <c r="L73" t="str">
        <f>IF(Table1[[#This Row],[Surgery_Cost_NGN]]&gt;0, "Yes", "No")</f>
        <v>No</v>
      </c>
      <c r="M73" s="1">
        <v>195790</v>
      </c>
      <c r="N73" t="str">
        <f>IF(Table1[[#This Row],[Surgery_Cost_NGN]]&gt;Table1[[#This Row],[Bill_Amount_NGN]], "Anomaly detected", "Valid")</f>
        <v>Valid</v>
      </c>
      <c r="O73" s="1">
        <f t="shared" si="1"/>
        <v>0</v>
      </c>
    </row>
    <row r="74" spans="1:15" x14ac:dyDescent="0.35">
      <c r="A74" t="s">
        <v>136</v>
      </c>
      <c r="B74" t="s">
        <v>10</v>
      </c>
      <c r="C74">
        <v>66</v>
      </c>
      <c r="D74" t="str">
        <f>IF(Table1[[#This Row],[Age]]&lt;=4, "Toddler (0-4)",
IF(Table1[[#This Row],[Age]]&lt;=12, "Child (5-12)",
IF(Table1[[#This Row],[Age]]&lt;=19, "Adolescent (13-19)",
IF(Table1[[#This Row],[Age]]&lt;=35, "Young adult (20-35)",
IF(Table1[[#This Row],[Age]]&lt;=59, "Adult (36-59)", "Elderly (60-90)")))))</f>
        <v>Elderly (60-90)</v>
      </c>
      <c r="E74" t="s">
        <v>14</v>
      </c>
      <c r="F74">
        <v>15</v>
      </c>
      <c r="G74" t="str">
        <f>IF(Table1[[#This Row],[Admission_Days]]&lt;=5, "Immediate (1-5)",
IF(Table1[[#This Row],[Admission_Days]]&lt;=10, "Short-term (6-10)",
IF(Table1[[#This Row],[Admission_Days]]&lt;=15, "Medium-term (11-15)", "Long-term (16-20)")))</f>
        <v>Medium-term (11-15)</v>
      </c>
      <c r="H74" t="s">
        <v>21</v>
      </c>
      <c r="I74">
        <v>4</v>
      </c>
      <c r="J74">
        <v>6</v>
      </c>
      <c r="K74" s="1">
        <v>250000</v>
      </c>
      <c r="L74" t="str">
        <f>IF(Table1[[#This Row],[Surgery_Cost_NGN]]&gt;0, "Yes", "No")</f>
        <v>Yes</v>
      </c>
      <c r="M74" s="1">
        <v>536218</v>
      </c>
      <c r="N74" t="str">
        <f>IF(Table1[[#This Row],[Surgery_Cost_NGN]]&gt;Table1[[#This Row],[Bill_Amount_NGN]], "Anomaly detected", "Valid")</f>
        <v>Valid</v>
      </c>
      <c r="O74" s="1">
        <f t="shared" si="1"/>
        <v>46.622828774863954</v>
      </c>
    </row>
    <row r="75" spans="1:15" x14ac:dyDescent="0.35">
      <c r="A75" t="s">
        <v>137</v>
      </c>
      <c r="B75" t="s">
        <v>13</v>
      </c>
      <c r="C75">
        <v>54</v>
      </c>
      <c r="D75" t="str">
        <f>IF(Table1[[#This Row],[Age]]&lt;=4, "Toddler (0-4)",
IF(Table1[[#This Row],[Age]]&lt;=12, "Child (5-12)",
IF(Table1[[#This Row],[Age]]&lt;=19, "Adolescent (13-19)",
IF(Table1[[#This Row],[Age]]&lt;=35, "Young adult (20-35)",
IF(Table1[[#This Row],[Age]]&lt;=59, "Adult (36-59)", "Elderly (60-90)")))))</f>
        <v>Adult (36-59)</v>
      </c>
      <c r="E75" t="s">
        <v>19</v>
      </c>
      <c r="F75">
        <v>4</v>
      </c>
      <c r="G75" t="str">
        <f>IF(Table1[[#This Row],[Admission_Days]]&lt;=5, "Immediate (1-5)",
IF(Table1[[#This Row],[Admission_Days]]&lt;=10, "Short-term (6-10)",
IF(Table1[[#This Row],[Admission_Days]]&lt;=15, "Medium-term (11-15)", "Long-term (16-20)")))</f>
        <v>Immediate (1-5)</v>
      </c>
      <c r="H75" t="s">
        <v>17</v>
      </c>
      <c r="I75">
        <v>2</v>
      </c>
      <c r="J75">
        <v>7</v>
      </c>
      <c r="K75" s="1">
        <v>0</v>
      </c>
      <c r="L75" t="str">
        <f>IF(Table1[[#This Row],[Surgery_Cost_NGN]]&gt;0, "Yes", "No")</f>
        <v>No</v>
      </c>
      <c r="M75" s="1">
        <v>0</v>
      </c>
      <c r="N75" t="str">
        <f>IF(Table1[[#This Row],[Surgery_Cost_NGN]]&gt;Table1[[#This Row],[Bill_Amount_NGN]], "Anomaly detected", "Valid")</f>
        <v>Valid</v>
      </c>
      <c r="O75" s="1">
        <f t="shared" si="1"/>
        <v>0</v>
      </c>
    </row>
    <row r="76" spans="1:15" x14ac:dyDescent="0.35">
      <c r="A76" t="s">
        <v>138</v>
      </c>
      <c r="B76" t="s">
        <v>10</v>
      </c>
      <c r="C76">
        <v>35</v>
      </c>
      <c r="D76" t="str">
        <f>IF(Table1[[#This Row],[Age]]&lt;=4, "Toddler (0-4)",
IF(Table1[[#This Row],[Age]]&lt;=12, "Child (5-12)",
IF(Table1[[#This Row],[Age]]&lt;=19, "Adolescent (13-19)",
IF(Table1[[#This Row],[Age]]&lt;=35, "Young adult (20-35)",
IF(Table1[[#This Row],[Age]]&lt;=59, "Adult (36-59)", "Elderly (60-90)")))))</f>
        <v>Young adult (20-35)</v>
      </c>
      <c r="E76" t="s">
        <v>20</v>
      </c>
      <c r="F76">
        <v>15</v>
      </c>
      <c r="G76" t="str">
        <f>IF(Table1[[#This Row],[Admission_Days]]&lt;=5, "Immediate (1-5)",
IF(Table1[[#This Row],[Admission_Days]]&lt;=10, "Short-term (6-10)",
IF(Table1[[#This Row],[Admission_Days]]&lt;=15, "Medium-term (11-15)", "Long-term (16-20)")))</f>
        <v>Medium-term (11-15)</v>
      </c>
      <c r="H76" t="s">
        <v>21</v>
      </c>
      <c r="I76">
        <v>1</v>
      </c>
      <c r="J76">
        <v>9</v>
      </c>
      <c r="K76" s="1">
        <v>0</v>
      </c>
      <c r="L76" t="str">
        <f>IF(Table1[[#This Row],[Surgery_Cost_NGN]]&gt;0, "Yes", "No")</f>
        <v>No</v>
      </c>
      <c r="M76" s="1">
        <v>265372</v>
      </c>
      <c r="N76" t="str">
        <f>IF(Table1[[#This Row],[Surgery_Cost_NGN]]&gt;Table1[[#This Row],[Bill_Amount_NGN]], "Anomaly detected", "Valid")</f>
        <v>Valid</v>
      </c>
      <c r="O76" s="1">
        <f t="shared" si="1"/>
        <v>0</v>
      </c>
    </row>
    <row r="77" spans="1:15" x14ac:dyDescent="0.35">
      <c r="A77" t="s">
        <v>139</v>
      </c>
      <c r="B77" t="s">
        <v>13</v>
      </c>
      <c r="C77">
        <v>80</v>
      </c>
      <c r="D77" t="str">
        <f>IF(Table1[[#This Row],[Age]]&lt;=4, "Toddler (0-4)",
IF(Table1[[#This Row],[Age]]&lt;=12, "Child (5-12)",
IF(Table1[[#This Row],[Age]]&lt;=19, "Adolescent (13-19)",
IF(Table1[[#This Row],[Age]]&lt;=35, "Young adult (20-35)",
IF(Table1[[#This Row],[Age]]&lt;=59, "Adult (36-59)", "Elderly (60-90)")))))</f>
        <v>Elderly (60-90)</v>
      </c>
      <c r="E77" t="s">
        <v>14</v>
      </c>
      <c r="F77">
        <v>2</v>
      </c>
      <c r="G77" t="str">
        <f>IF(Table1[[#This Row],[Admission_Days]]&lt;=5, "Immediate (1-5)",
IF(Table1[[#This Row],[Admission_Days]]&lt;=10, "Short-term (6-10)",
IF(Table1[[#This Row],[Admission_Days]]&lt;=15, "Medium-term (11-15)", "Long-term (16-20)")))</f>
        <v>Immediate (1-5)</v>
      </c>
      <c r="H77" t="s">
        <v>12</v>
      </c>
      <c r="I77">
        <v>2</v>
      </c>
      <c r="J77">
        <v>3</v>
      </c>
      <c r="K77" s="1">
        <v>0</v>
      </c>
      <c r="L77" t="str">
        <f>IF(Table1[[#This Row],[Surgery_Cost_NGN]]&gt;0, "Yes", "No")</f>
        <v>No</v>
      </c>
      <c r="M77" s="1">
        <v>70537</v>
      </c>
      <c r="N77" t="str">
        <f>IF(Table1[[#This Row],[Surgery_Cost_NGN]]&gt;Table1[[#This Row],[Bill_Amount_NGN]], "Anomaly detected", "Valid")</f>
        <v>Valid</v>
      </c>
      <c r="O77" s="1">
        <f t="shared" si="1"/>
        <v>0</v>
      </c>
    </row>
    <row r="78" spans="1:15" x14ac:dyDescent="0.35">
      <c r="A78" t="s">
        <v>140</v>
      </c>
      <c r="B78" t="s">
        <v>13</v>
      </c>
      <c r="C78">
        <v>61</v>
      </c>
      <c r="D78" t="str">
        <f>IF(Table1[[#This Row],[Age]]&lt;=4, "Toddler (0-4)",
IF(Table1[[#This Row],[Age]]&lt;=12, "Child (5-12)",
IF(Table1[[#This Row],[Age]]&lt;=19, "Adolescent (13-19)",
IF(Table1[[#This Row],[Age]]&lt;=35, "Young adult (20-35)",
IF(Table1[[#This Row],[Age]]&lt;=59, "Adult (36-59)", "Elderly (60-90)")))))</f>
        <v>Elderly (60-90)</v>
      </c>
      <c r="E78" t="s">
        <v>14</v>
      </c>
      <c r="F78">
        <v>15</v>
      </c>
      <c r="G78" t="str">
        <f>IF(Table1[[#This Row],[Admission_Days]]&lt;=5, "Immediate (1-5)",
IF(Table1[[#This Row],[Admission_Days]]&lt;=10, "Short-term (6-10)",
IF(Table1[[#This Row],[Admission_Days]]&lt;=15, "Medium-term (11-15)", "Long-term (16-20)")))</f>
        <v>Medium-term (11-15)</v>
      </c>
      <c r="H78" t="s">
        <v>12</v>
      </c>
      <c r="I78">
        <v>1</v>
      </c>
      <c r="J78">
        <v>3</v>
      </c>
      <c r="K78" s="1">
        <v>0</v>
      </c>
      <c r="L78" t="str">
        <f>IF(Table1[[#This Row],[Surgery_Cost_NGN]]&gt;0, "Yes", "No")</f>
        <v>No</v>
      </c>
      <c r="M78" s="1">
        <v>203827</v>
      </c>
      <c r="N78" t="str">
        <f>IF(Table1[[#This Row],[Surgery_Cost_NGN]]&gt;Table1[[#This Row],[Bill_Amount_NGN]], "Anomaly detected", "Valid")</f>
        <v>Valid</v>
      </c>
      <c r="O78" s="1">
        <f t="shared" si="1"/>
        <v>0</v>
      </c>
    </row>
    <row r="79" spans="1:15" x14ac:dyDescent="0.35">
      <c r="A79" t="s">
        <v>141</v>
      </c>
      <c r="B79" t="s">
        <v>13</v>
      </c>
      <c r="C79">
        <v>41</v>
      </c>
      <c r="D79" t="str">
        <f>IF(Table1[[#This Row],[Age]]&lt;=4, "Toddler (0-4)",
IF(Table1[[#This Row],[Age]]&lt;=12, "Child (5-12)",
IF(Table1[[#This Row],[Age]]&lt;=19, "Adolescent (13-19)",
IF(Table1[[#This Row],[Age]]&lt;=35, "Young adult (20-35)",
IF(Table1[[#This Row],[Age]]&lt;=59, "Adult (36-59)", "Elderly (60-90)")))))</f>
        <v>Adult (36-59)</v>
      </c>
      <c r="E79" t="s">
        <v>11</v>
      </c>
      <c r="F79">
        <v>8</v>
      </c>
      <c r="G79" t="str">
        <f>IF(Table1[[#This Row],[Admission_Days]]&lt;=5, "Immediate (1-5)",
IF(Table1[[#This Row],[Admission_Days]]&lt;=10, "Short-term (6-10)",
IF(Table1[[#This Row],[Admission_Days]]&lt;=15, "Medium-term (11-15)", "Long-term (16-20)")))</f>
        <v>Short-term (6-10)</v>
      </c>
      <c r="H79" t="s">
        <v>17</v>
      </c>
      <c r="I79">
        <v>1</v>
      </c>
      <c r="J79">
        <v>7</v>
      </c>
      <c r="K79" s="1">
        <v>250000</v>
      </c>
      <c r="L79" t="str">
        <f>IF(Table1[[#This Row],[Surgery_Cost_NGN]]&gt;0, "Yes", "No")</f>
        <v>Yes</v>
      </c>
      <c r="M79" s="1">
        <v>388383</v>
      </c>
      <c r="N79" t="str">
        <f>IF(Table1[[#This Row],[Surgery_Cost_NGN]]&gt;Table1[[#This Row],[Bill_Amount_NGN]], "Anomaly detected", "Valid")</f>
        <v>Valid</v>
      </c>
      <c r="O79" s="1">
        <f t="shared" si="1"/>
        <v>64.369449744195805</v>
      </c>
    </row>
    <row r="80" spans="1:15" x14ac:dyDescent="0.35">
      <c r="A80" t="s">
        <v>142</v>
      </c>
      <c r="B80" t="s">
        <v>10</v>
      </c>
      <c r="C80">
        <v>33</v>
      </c>
      <c r="D80" t="str">
        <f>IF(Table1[[#This Row],[Age]]&lt;=4, "Toddler (0-4)",
IF(Table1[[#This Row],[Age]]&lt;=12, "Child (5-12)",
IF(Table1[[#This Row],[Age]]&lt;=19, "Adolescent (13-19)",
IF(Table1[[#This Row],[Age]]&lt;=35, "Young adult (20-35)",
IF(Table1[[#This Row],[Age]]&lt;=59, "Adult (36-59)", "Elderly (60-90)")))))</f>
        <v>Young adult (20-35)</v>
      </c>
      <c r="E80" t="s">
        <v>20</v>
      </c>
      <c r="F80">
        <v>8</v>
      </c>
      <c r="G80" t="str">
        <f>IF(Table1[[#This Row],[Admission_Days]]&lt;=5, "Immediate (1-5)",
IF(Table1[[#This Row],[Admission_Days]]&lt;=10, "Short-term (6-10)",
IF(Table1[[#This Row],[Admission_Days]]&lt;=15, "Medium-term (11-15)", "Long-term (16-20)")))</f>
        <v>Short-term (6-10)</v>
      </c>
      <c r="H80" t="s">
        <v>15</v>
      </c>
      <c r="I80">
        <v>5</v>
      </c>
      <c r="J80">
        <v>4</v>
      </c>
      <c r="K80" s="1">
        <v>150000</v>
      </c>
      <c r="L80" t="str">
        <f>IF(Table1[[#This Row],[Surgery_Cost_NGN]]&gt;0, "Yes", "No")</f>
        <v>Yes</v>
      </c>
      <c r="M80" s="1">
        <v>322455</v>
      </c>
      <c r="N80" t="str">
        <f>IF(Table1[[#This Row],[Surgery_Cost_NGN]]&gt;Table1[[#This Row],[Bill_Amount_NGN]], "Anomaly detected", "Valid")</f>
        <v>Valid</v>
      </c>
      <c r="O80" s="1">
        <f t="shared" si="1"/>
        <v>46.518118807275435</v>
      </c>
    </row>
    <row r="81" spans="1:15" x14ac:dyDescent="0.35">
      <c r="A81" t="s">
        <v>143</v>
      </c>
      <c r="B81" t="s">
        <v>13</v>
      </c>
      <c r="C81">
        <v>68</v>
      </c>
      <c r="D81" t="str">
        <f>IF(Table1[[#This Row],[Age]]&lt;=4, "Toddler (0-4)",
IF(Table1[[#This Row],[Age]]&lt;=12, "Child (5-12)",
IF(Table1[[#This Row],[Age]]&lt;=19, "Adolescent (13-19)",
IF(Table1[[#This Row],[Age]]&lt;=35, "Young adult (20-35)",
IF(Table1[[#This Row],[Age]]&lt;=59, "Adult (36-59)", "Elderly (60-90)")))))</f>
        <v>Elderly (60-90)</v>
      </c>
      <c r="E81" t="s">
        <v>20</v>
      </c>
      <c r="F81">
        <v>17</v>
      </c>
      <c r="G81" t="str">
        <f>IF(Table1[[#This Row],[Admission_Days]]&lt;=5, "Immediate (1-5)",
IF(Table1[[#This Row],[Admission_Days]]&lt;=10, "Short-term (6-10)",
IF(Table1[[#This Row],[Admission_Days]]&lt;=15, "Medium-term (11-15)", "Long-term (16-20)")))</f>
        <v>Long-term (16-20)</v>
      </c>
      <c r="H81" t="s">
        <v>18</v>
      </c>
      <c r="I81">
        <v>0</v>
      </c>
      <c r="J81">
        <v>8</v>
      </c>
      <c r="K81" s="1">
        <v>0</v>
      </c>
      <c r="L81" t="str">
        <f>IF(Table1[[#This Row],[Surgery_Cost_NGN]]&gt;0, "Yes", "No")</f>
        <v>No</v>
      </c>
      <c r="M81" s="1">
        <v>238324</v>
      </c>
      <c r="N81" t="str">
        <f>IF(Table1[[#This Row],[Surgery_Cost_NGN]]&gt;Table1[[#This Row],[Bill_Amount_NGN]], "Anomaly detected", "Valid")</f>
        <v>Valid</v>
      </c>
      <c r="O81" s="1">
        <f t="shared" si="1"/>
        <v>0</v>
      </c>
    </row>
    <row r="82" spans="1:15" x14ac:dyDescent="0.35">
      <c r="A82" t="s">
        <v>144</v>
      </c>
      <c r="B82" t="s">
        <v>10</v>
      </c>
      <c r="C82">
        <v>33</v>
      </c>
      <c r="D82" t="str">
        <f>IF(Table1[[#This Row],[Age]]&lt;=4, "Toddler (0-4)",
IF(Table1[[#This Row],[Age]]&lt;=12, "Child (5-12)",
IF(Table1[[#This Row],[Age]]&lt;=19, "Adolescent (13-19)",
IF(Table1[[#This Row],[Age]]&lt;=35, "Young adult (20-35)",
IF(Table1[[#This Row],[Age]]&lt;=59, "Adult (36-59)", "Elderly (60-90)")))))</f>
        <v>Young adult (20-35)</v>
      </c>
      <c r="E82" t="s">
        <v>19</v>
      </c>
      <c r="F82">
        <v>12</v>
      </c>
      <c r="G82" t="str">
        <f>IF(Table1[[#This Row],[Admission_Days]]&lt;=5, "Immediate (1-5)",
IF(Table1[[#This Row],[Admission_Days]]&lt;=10, "Short-term (6-10)",
IF(Table1[[#This Row],[Admission_Days]]&lt;=15, "Medium-term (11-15)", "Long-term (16-20)")))</f>
        <v>Medium-term (11-15)</v>
      </c>
      <c r="H82" t="s">
        <v>12</v>
      </c>
      <c r="I82">
        <v>2</v>
      </c>
      <c r="J82">
        <v>7</v>
      </c>
      <c r="K82" s="1">
        <v>0</v>
      </c>
      <c r="L82" t="str">
        <f>IF(Table1[[#This Row],[Surgery_Cost_NGN]]&gt;0, "Yes", "No")</f>
        <v>No</v>
      </c>
      <c r="M82" s="1">
        <v>239794</v>
      </c>
      <c r="N82" t="str">
        <f>IF(Table1[[#This Row],[Surgery_Cost_NGN]]&gt;Table1[[#This Row],[Bill_Amount_NGN]], "Anomaly detected", "Valid")</f>
        <v>Valid</v>
      </c>
      <c r="O82" s="1">
        <f t="shared" si="1"/>
        <v>0</v>
      </c>
    </row>
    <row r="83" spans="1:15" x14ac:dyDescent="0.35">
      <c r="A83" t="s">
        <v>145</v>
      </c>
      <c r="B83" t="s">
        <v>13</v>
      </c>
      <c r="C83">
        <v>14</v>
      </c>
      <c r="D83" t="str">
        <f>IF(Table1[[#This Row],[Age]]&lt;=4, "Toddler (0-4)",
IF(Table1[[#This Row],[Age]]&lt;=12, "Child (5-12)",
IF(Table1[[#This Row],[Age]]&lt;=19, "Adolescent (13-19)",
IF(Table1[[#This Row],[Age]]&lt;=35, "Young adult (20-35)",
IF(Table1[[#This Row],[Age]]&lt;=59, "Adult (36-59)", "Elderly (60-90)")))))</f>
        <v>Adolescent (13-19)</v>
      </c>
      <c r="E83" t="s">
        <v>20</v>
      </c>
      <c r="F83">
        <v>19</v>
      </c>
      <c r="G83" t="str">
        <f>IF(Table1[[#This Row],[Admission_Days]]&lt;=5, "Immediate (1-5)",
IF(Table1[[#This Row],[Admission_Days]]&lt;=10, "Short-term (6-10)",
IF(Table1[[#This Row],[Admission_Days]]&lt;=15, "Medium-term (11-15)", "Long-term (16-20)")))</f>
        <v>Long-term (16-20)</v>
      </c>
      <c r="H83" t="s">
        <v>12</v>
      </c>
      <c r="I83">
        <v>2</v>
      </c>
      <c r="J83">
        <v>5</v>
      </c>
      <c r="K83" s="1">
        <v>150000</v>
      </c>
      <c r="L83" t="str">
        <f>IF(Table1[[#This Row],[Surgery_Cost_NGN]]&gt;0, "Yes", "No")</f>
        <v>Yes</v>
      </c>
      <c r="M83" s="1">
        <v>441721</v>
      </c>
      <c r="N83" t="str">
        <f>IF(Table1[[#This Row],[Surgery_Cost_NGN]]&gt;Table1[[#This Row],[Bill_Amount_NGN]], "Anomaly detected", "Valid")</f>
        <v>Valid</v>
      </c>
      <c r="O83" s="1">
        <f t="shared" si="1"/>
        <v>33.958086665564913</v>
      </c>
    </row>
    <row r="84" spans="1:15" x14ac:dyDescent="0.35">
      <c r="A84" t="s">
        <v>146</v>
      </c>
      <c r="B84" t="s">
        <v>10</v>
      </c>
      <c r="C84">
        <v>21</v>
      </c>
      <c r="D84" t="str">
        <f>IF(Table1[[#This Row],[Age]]&lt;=4, "Toddler (0-4)",
IF(Table1[[#This Row],[Age]]&lt;=12, "Child (5-12)",
IF(Table1[[#This Row],[Age]]&lt;=19, "Adolescent (13-19)",
IF(Table1[[#This Row],[Age]]&lt;=35, "Young adult (20-35)",
IF(Table1[[#This Row],[Age]]&lt;=59, "Adult (36-59)", "Elderly (60-90)")))))</f>
        <v>Young adult (20-35)</v>
      </c>
      <c r="E84" t="s">
        <v>16</v>
      </c>
      <c r="F84">
        <v>10</v>
      </c>
      <c r="G84" t="str">
        <f>IF(Table1[[#This Row],[Admission_Days]]&lt;=5, "Immediate (1-5)",
IF(Table1[[#This Row],[Admission_Days]]&lt;=10, "Short-term (6-10)",
IF(Table1[[#This Row],[Admission_Days]]&lt;=15, "Medium-term (11-15)", "Long-term (16-20)")))</f>
        <v>Short-term (6-10)</v>
      </c>
      <c r="H84" t="s">
        <v>15</v>
      </c>
      <c r="I84">
        <v>5</v>
      </c>
      <c r="J84">
        <v>7</v>
      </c>
      <c r="K84" s="1">
        <v>150000</v>
      </c>
      <c r="L84" t="str">
        <f>IF(Table1[[#This Row],[Surgery_Cost_NGN]]&gt;0, "Yes", "No")</f>
        <v>Yes</v>
      </c>
      <c r="M84" s="1">
        <v>90000</v>
      </c>
      <c r="N84" t="str">
        <f>IF(Table1[[#This Row],[Surgery_Cost_NGN]]&gt;Table1[[#This Row],[Bill_Amount_NGN]], "Anomaly detected", "Valid")</f>
        <v>Anomaly detected</v>
      </c>
      <c r="O84" s="1">
        <f t="shared" si="1"/>
        <v>166.66666666666669</v>
      </c>
    </row>
    <row r="85" spans="1:15" x14ac:dyDescent="0.35">
      <c r="A85" t="s">
        <v>147</v>
      </c>
      <c r="B85" t="s">
        <v>13</v>
      </c>
      <c r="C85">
        <v>48</v>
      </c>
      <c r="D85" t="str">
        <f>IF(Table1[[#This Row],[Age]]&lt;=4, "Toddler (0-4)",
IF(Table1[[#This Row],[Age]]&lt;=12, "Child (5-12)",
IF(Table1[[#This Row],[Age]]&lt;=19, "Adolescent (13-19)",
IF(Table1[[#This Row],[Age]]&lt;=35, "Young adult (20-35)",
IF(Table1[[#This Row],[Age]]&lt;=59, "Adult (36-59)", "Elderly (60-90)")))))</f>
        <v>Adult (36-59)</v>
      </c>
      <c r="E85" t="s">
        <v>11</v>
      </c>
      <c r="F85">
        <v>9</v>
      </c>
      <c r="G85" t="str">
        <f>IF(Table1[[#This Row],[Admission_Days]]&lt;=5, "Immediate (1-5)",
IF(Table1[[#This Row],[Admission_Days]]&lt;=10, "Short-term (6-10)",
IF(Table1[[#This Row],[Admission_Days]]&lt;=15, "Medium-term (11-15)", "Long-term (16-20)")))</f>
        <v>Short-term (6-10)</v>
      </c>
      <c r="H85" t="s">
        <v>15</v>
      </c>
      <c r="I85">
        <v>4</v>
      </c>
      <c r="J85">
        <v>3</v>
      </c>
      <c r="K85" s="1">
        <v>600000</v>
      </c>
      <c r="L85" t="str">
        <f>IF(Table1[[#This Row],[Surgery_Cost_NGN]]&gt;0, "Yes", "No")</f>
        <v>Yes</v>
      </c>
      <c r="M85" s="1">
        <v>773006</v>
      </c>
      <c r="N85" t="str">
        <f>IF(Table1[[#This Row],[Surgery_Cost_NGN]]&gt;Table1[[#This Row],[Bill_Amount_NGN]], "Anomaly detected", "Valid")</f>
        <v>Valid</v>
      </c>
      <c r="O85" s="1">
        <f t="shared" si="1"/>
        <v>77.619061171582103</v>
      </c>
    </row>
    <row r="86" spans="1:15" x14ac:dyDescent="0.35">
      <c r="A86" t="s">
        <v>148</v>
      </c>
      <c r="B86" t="s">
        <v>10</v>
      </c>
      <c r="C86">
        <v>20</v>
      </c>
      <c r="D86" t="str">
        <f>IF(Table1[[#This Row],[Age]]&lt;=4, "Toddler (0-4)",
IF(Table1[[#This Row],[Age]]&lt;=12, "Child (5-12)",
IF(Table1[[#This Row],[Age]]&lt;=19, "Adolescent (13-19)",
IF(Table1[[#This Row],[Age]]&lt;=35, "Young adult (20-35)",
IF(Table1[[#This Row],[Age]]&lt;=59, "Adult (36-59)", "Elderly (60-90)")))))</f>
        <v>Young adult (20-35)</v>
      </c>
      <c r="E86" t="s">
        <v>20</v>
      </c>
      <c r="F86">
        <v>5</v>
      </c>
      <c r="G86" t="str">
        <f>IF(Table1[[#This Row],[Admission_Days]]&lt;=5, "Immediate (1-5)",
IF(Table1[[#This Row],[Admission_Days]]&lt;=10, "Short-term (6-10)",
IF(Table1[[#This Row],[Admission_Days]]&lt;=15, "Medium-term (11-15)", "Long-term (16-20)")))</f>
        <v>Immediate (1-5)</v>
      </c>
      <c r="H86" t="s">
        <v>21</v>
      </c>
      <c r="I86">
        <v>4</v>
      </c>
      <c r="J86">
        <v>2</v>
      </c>
      <c r="K86" s="1">
        <v>0</v>
      </c>
      <c r="L86" t="str">
        <f>IF(Table1[[#This Row],[Surgery_Cost_NGN]]&gt;0, "Yes", "No")</f>
        <v>No</v>
      </c>
      <c r="M86" s="1">
        <v>97903</v>
      </c>
      <c r="N86" t="str">
        <f>IF(Table1[[#This Row],[Surgery_Cost_NGN]]&gt;Table1[[#This Row],[Bill_Amount_NGN]], "Anomaly detected", "Valid")</f>
        <v>Valid</v>
      </c>
      <c r="O86" s="1">
        <f t="shared" si="1"/>
        <v>0</v>
      </c>
    </row>
    <row r="87" spans="1:15" x14ac:dyDescent="0.35">
      <c r="A87" t="s">
        <v>149</v>
      </c>
      <c r="B87" t="s">
        <v>10</v>
      </c>
      <c r="C87">
        <v>8</v>
      </c>
      <c r="D87" t="str">
        <f>IF(Table1[[#This Row],[Age]]&lt;=4, "Toddler (0-4)",
IF(Table1[[#This Row],[Age]]&lt;=12, "Child (5-12)",
IF(Table1[[#This Row],[Age]]&lt;=19, "Adolescent (13-19)",
IF(Table1[[#This Row],[Age]]&lt;=35, "Young adult (20-35)",
IF(Table1[[#This Row],[Age]]&lt;=59, "Adult (36-59)", "Elderly (60-90)")))))</f>
        <v>Child (5-12)</v>
      </c>
      <c r="E87" t="s">
        <v>19</v>
      </c>
      <c r="F87">
        <v>6</v>
      </c>
      <c r="G87" t="str">
        <f>IF(Table1[[#This Row],[Admission_Days]]&lt;=5, "Immediate (1-5)",
IF(Table1[[#This Row],[Admission_Days]]&lt;=10, "Short-term (6-10)",
IF(Table1[[#This Row],[Admission_Days]]&lt;=15, "Medium-term (11-15)", "Long-term (16-20)")))</f>
        <v>Short-term (6-10)</v>
      </c>
      <c r="H87" t="s">
        <v>21</v>
      </c>
      <c r="I87">
        <v>0</v>
      </c>
      <c r="J87">
        <v>6</v>
      </c>
      <c r="K87" s="1">
        <v>0</v>
      </c>
      <c r="L87" t="str">
        <f>IF(Table1[[#This Row],[Surgery_Cost_NGN]]&gt;0, "Yes", "No")</f>
        <v>No</v>
      </c>
      <c r="M87" s="1">
        <v>82944</v>
      </c>
      <c r="N87" t="str">
        <f>IF(Table1[[#This Row],[Surgery_Cost_NGN]]&gt;Table1[[#This Row],[Bill_Amount_NGN]], "Anomaly detected", "Valid")</f>
        <v>Valid</v>
      </c>
      <c r="O87" s="1">
        <f t="shared" si="1"/>
        <v>0</v>
      </c>
    </row>
    <row r="88" spans="1:15" x14ac:dyDescent="0.35">
      <c r="A88" t="s">
        <v>150</v>
      </c>
      <c r="B88" t="s">
        <v>13</v>
      </c>
      <c r="C88">
        <v>7</v>
      </c>
      <c r="D88" t="str">
        <f>IF(Table1[[#This Row],[Age]]&lt;=4, "Toddler (0-4)",
IF(Table1[[#This Row],[Age]]&lt;=12, "Child (5-12)",
IF(Table1[[#This Row],[Age]]&lt;=19, "Adolescent (13-19)",
IF(Table1[[#This Row],[Age]]&lt;=35, "Young adult (20-35)",
IF(Table1[[#This Row],[Age]]&lt;=59, "Adult (36-59)", "Elderly (60-90)")))))</f>
        <v>Child (5-12)</v>
      </c>
      <c r="E88" t="s">
        <v>16</v>
      </c>
      <c r="F88">
        <v>20</v>
      </c>
      <c r="G88" t="str">
        <f>IF(Table1[[#This Row],[Admission_Days]]&lt;=5, "Immediate (1-5)",
IF(Table1[[#This Row],[Admission_Days]]&lt;=10, "Short-term (6-10)",
IF(Table1[[#This Row],[Admission_Days]]&lt;=15, "Medium-term (11-15)", "Long-term (16-20)")))</f>
        <v>Long-term (16-20)</v>
      </c>
      <c r="H88" t="s">
        <v>18</v>
      </c>
      <c r="I88">
        <v>0</v>
      </c>
      <c r="J88">
        <v>2</v>
      </c>
      <c r="K88" s="1">
        <v>0</v>
      </c>
      <c r="L88" t="str">
        <f>IF(Table1[[#This Row],[Surgery_Cost_NGN]]&gt;0, "Yes", "No")</f>
        <v>No</v>
      </c>
      <c r="M88" s="1">
        <v>291404</v>
      </c>
      <c r="N88" t="str">
        <f>IF(Table1[[#This Row],[Surgery_Cost_NGN]]&gt;Table1[[#This Row],[Bill_Amount_NGN]], "Anomaly detected", "Valid")</f>
        <v>Valid</v>
      </c>
      <c r="O88" s="1">
        <f t="shared" si="1"/>
        <v>0</v>
      </c>
    </row>
    <row r="89" spans="1:15" x14ac:dyDescent="0.35">
      <c r="A89" t="s">
        <v>151</v>
      </c>
      <c r="B89" t="s">
        <v>10</v>
      </c>
      <c r="C89">
        <v>67</v>
      </c>
      <c r="D89" t="str">
        <f>IF(Table1[[#This Row],[Age]]&lt;=4, "Toddler (0-4)",
IF(Table1[[#This Row],[Age]]&lt;=12, "Child (5-12)",
IF(Table1[[#This Row],[Age]]&lt;=19, "Adolescent (13-19)",
IF(Table1[[#This Row],[Age]]&lt;=35, "Young adult (20-35)",
IF(Table1[[#This Row],[Age]]&lt;=59, "Adult (36-59)", "Elderly (60-90)")))))</f>
        <v>Elderly (60-90)</v>
      </c>
      <c r="E89" t="s">
        <v>22</v>
      </c>
      <c r="F89">
        <v>2</v>
      </c>
      <c r="G89" t="str">
        <f>IF(Table1[[#This Row],[Admission_Days]]&lt;=5, "Immediate (1-5)",
IF(Table1[[#This Row],[Admission_Days]]&lt;=10, "Short-term (6-10)",
IF(Table1[[#This Row],[Admission_Days]]&lt;=15, "Medium-term (11-15)", "Long-term (16-20)")))</f>
        <v>Immediate (1-5)</v>
      </c>
      <c r="H89" t="s">
        <v>18</v>
      </c>
      <c r="I89">
        <v>3</v>
      </c>
      <c r="J89">
        <v>3</v>
      </c>
      <c r="K89" s="1">
        <v>0</v>
      </c>
      <c r="L89" t="str">
        <f>IF(Table1[[#This Row],[Surgery_Cost_NGN]]&gt;0, "Yes", "No")</f>
        <v>No</v>
      </c>
      <c r="M89" s="1">
        <v>73808</v>
      </c>
      <c r="N89" t="str">
        <f>IF(Table1[[#This Row],[Surgery_Cost_NGN]]&gt;Table1[[#This Row],[Bill_Amount_NGN]], "Anomaly detected", "Valid")</f>
        <v>Valid</v>
      </c>
      <c r="O89" s="1">
        <f t="shared" si="1"/>
        <v>0</v>
      </c>
    </row>
    <row r="90" spans="1:15" x14ac:dyDescent="0.35">
      <c r="A90" t="s">
        <v>152</v>
      </c>
      <c r="B90" t="s">
        <v>13</v>
      </c>
      <c r="C90">
        <v>17</v>
      </c>
      <c r="D90" t="str">
        <f>IF(Table1[[#This Row],[Age]]&lt;=4, "Toddler (0-4)",
IF(Table1[[#This Row],[Age]]&lt;=12, "Child (5-12)",
IF(Table1[[#This Row],[Age]]&lt;=19, "Adolescent (13-19)",
IF(Table1[[#This Row],[Age]]&lt;=35, "Young adult (20-35)",
IF(Table1[[#This Row],[Age]]&lt;=59, "Adult (36-59)", "Elderly (60-90)")))))</f>
        <v>Adolescent (13-19)</v>
      </c>
      <c r="E90" t="s">
        <v>22</v>
      </c>
      <c r="F90">
        <v>13</v>
      </c>
      <c r="G90" t="str">
        <f>IF(Table1[[#This Row],[Admission_Days]]&lt;=5, "Immediate (1-5)",
IF(Table1[[#This Row],[Admission_Days]]&lt;=10, "Short-term (6-10)",
IF(Table1[[#This Row],[Admission_Days]]&lt;=15, "Medium-term (11-15)", "Long-term (16-20)")))</f>
        <v>Medium-term (11-15)</v>
      </c>
      <c r="H90" t="s">
        <v>17</v>
      </c>
      <c r="I90">
        <v>5</v>
      </c>
      <c r="J90">
        <v>6</v>
      </c>
      <c r="K90" s="1">
        <v>150000</v>
      </c>
      <c r="L90" t="str">
        <f>IF(Table1[[#This Row],[Surgery_Cost_NGN]]&gt;0, "Yes", "No")</f>
        <v>Yes</v>
      </c>
      <c r="M90" s="1">
        <v>411396</v>
      </c>
      <c r="N90" t="str">
        <f>IF(Table1[[#This Row],[Surgery_Cost_NGN]]&gt;Table1[[#This Row],[Bill_Amount_NGN]], "Anomaly detected", "Valid")</f>
        <v>Valid</v>
      </c>
      <c r="O90" s="1">
        <f t="shared" si="1"/>
        <v>36.461219846571183</v>
      </c>
    </row>
    <row r="91" spans="1:15" x14ac:dyDescent="0.35">
      <c r="A91" t="s">
        <v>153</v>
      </c>
      <c r="B91" t="s">
        <v>13</v>
      </c>
      <c r="C91">
        <v>33</v>
      </c>
      <c r="D91" t="str">
        <f>IF(Table1[[#This Row],[Age]]&lt;=4, "Toddler (0-4)",
IF(Table1[[#This Row],[Age]]&lt;=12, "Child (5-12)",
IF(Table1[[#This Row],[Age]]&lt;=19, "Adolescent (13-19)",
IF(Table1[[#This Row],[Age]]&lt;=35, "Young adult (20-35)",
IF(Table1[[#This Row],[Age]]&lt;=59, "Adult (36-59)", "Elderly (60-90)")))))</f>
        <v>Young adult (20-35)</v>
      </c>
      <c r="E91" t="s">
        <v>16</v>
      </c>
      <c r="F91">
        <v>6</v>
      </c>
      <c r="G91" t="str">
        <f>IF(Table1[[#This Row],[Admission_Days]]&lt;=5, "Immediate (1-5)",
IF(Table1[[#This Row],[Admission_Days]]&lt;=10, "Short-term (6-10)",
IF(Table1[[#This Row],[Admission_Days]]&lt;=15, "Medium-term (11-15)", "Long-term (16-20)")))</f>
        <v>Short-term (6-10)</v>
      </c>
      <c r="H91" t="s">
        <v>21</v>
      </c>
      <c r="I91">
        <v>4</v>
      </c>
      <c r="J91">
        <v>5</v>
      </c>
      <c r="K91" s="1">
        <v>0</v>
      </c>
      <c r="L91" t="str">
        <f>IF(Table1[[#This Row],[Surgery_Cost_NGN]]&gt;0, "Yes", "No")</f>
        <v>No</v>
      </c>
      <c r="M91" s="1">
        <v>111287</v>
      </c>
      <c r="N91" t="str">
        <f>IF(Table1[[#This Row],[Surgery_Cost_NGN]]&gt;Table1[[#This Row],[Bill_Amount_NGN]], "Anomaly detected", "Valid")</f>
        <v>Valid</v>
      </c>
      <c r="O91" s="1">
        <f t="shared" si="1"/>
        <v>0</v>
      </c>
    </row>
    <row r="92" spans="1:15" x14ac:dyDescent="0.35">
      <c r="A92" t="s">
        <v>154</v>
      </c>
      <c r="B92" t="s">
        <v>13</v>
      </c>
      <c r="C92">
        <v>48</v>
      </c>
      <c r="D92" t="str">
        <f>IF(Table1[[#This Row],[Age]]&lt;=4, "Toddler (0-4)",
IF(Table1[[#This Row],[Age]]&lt;=12, "Child (5-12)",
IF(Table1[[#This Row],[Age]]&lt;=19, "Adolescent (13-19)",
IF(Table1[[#This Row],[Age]]&lt;=35, "Young adult (20-35)",
IF(Table1[[#This Row],[Age]]&lt;=59, "Adult (36-59)", "Elderly (60-90)")))))</f>
        <v>Adult (36-59)</v>
      </c>
      <c r="E92" t="s">
        <v>19</v>
      </c>
      <c r="F92">
        <v>5</v>
      </c>
      <c r="G92" t="str">
        <f>IF(Table1[[#This Row],[Admission_Days]]&lt;=5, "Immediate (1-5)",
IF(Table1[[#This Row],[Admission_Days]]&lt;=10, "Short-term (6-10)",
IF(Table1[[#This Row],[Admission_Days]]&lt;=15, "Medium-term (11-15)", "Long-term (16-20)")))</f>
        <v>Immediate (1-5)</v>
      </c>
      <c r="H92" t="s">
        <v>12</v>
      </c>
      <c r="I92">
        <v>1</v>
      </c>
      <c r="J92">
        <v>8</v>
      </c>
      <c r="K92" s="1">
        <v>0</v>
      </c>
      <c r="L92" t="str">
        <f>IF(Table1[[#This Row],[Surgery_Cost_NGN]]&gt;0, "Yes", "No")</f>
        <v>No</v>
      </c>
      <c r="M92" s="1">
        <v>103317</v>
      </c>
      <c r="N92" t="str">
        <f>IF(Table1[[#This Row],[Surgery_Cost_NGN]]&gt;Table1[[#This Row],[Bill_Amount_NGN]], "Anomaly detected", "Valid")</f>
        <v>Valid</v>
      </c>
      <c r="O92" s="1">
        <f t="shared" si="1"/>
        <v>0</v>
      </c>
    </row>
    <row r="93" spans="1:15" x14ac:dyDescent="0.35">
      <c r="A93" t="s">
        <v>155</v>
      </c>
      <c r="B93" t="s">
        <v>13</v>
      </c>
      <c r="C93">
        <v>76</v>
      </c>
      <c r="D93" t="str">
        <f>IF(Table1[[#This Row],[Age]]&lt;=4, "Toddler (0-4)",
IF(Table1[[#This Row],[Age]]&lt;=12, "Child (5-12)",
IF(Table1[[#This Row],[Age]]&lt;=19, "Adolescent (13-19)",
IF(Table1[[#This Row],[Age]]&lt;=35, "Young adult (20-35)",
IF(Table1[[#This Row],[Age]]&lt;=59, "Adult (36-59)", "Elderly (60-90)")))))</f>
        <v>Elderly (60-90)</v>
      </c>
      <c r="E93" t="s">
        <v>16</v>
      </c>
      <c r="F93">
        <v>1</v>
      </c>
      <c r="G93" t="str">
        <f>IF(Table1[[#This Row],[Admission_Days]]&lt;=5, "Immediate (1-5)",
IF(Table1[[#This Row],[Admission_Days]]&lt;=10, "Short-term (6-10)",
IF(Table1[[#This Row],[Admission_Days]]&lt;=15, "Medium-term (11-15)", "Long-term (16-20)")))</f>
        <v>Immediate (1-5)</v>
      </c>
      <c r="H93" t="s">
        <v>21</v>
      </c>
      <c r="I93">
        <v>2</v>
      </c>
      <c r="J93">
        <v>9</v>
      </c>
      <c r="K93" s="1">
        <v>600000</v>
      </c>
      <c r="L93" t="str">
        <f>IF(Table1[[#This Row],[Surgery_Cost_NGN]]&gt;0, "Yes", "No")</f>
        <v>Yes</v>
      </c>
      <c r="M93" s="1">
        <v>676201</v>
      </c>
      <c r="N93" t="str">
        <f>IF(Table1[[#This Row],[Surgery_Cost_NGN]]&gt;Table1[[#This Row],[Bill_Amount_NGN]], "Anomaly detected", "Valid")</f>
        <v>Valid</v>
      </c>
      <c r="O93" s="1">
        <f t="shared" si="1"/>
        <v>88.731013411692672</v>
      </c>
    </row>
    <row r="94" spans="1:15" x14ac:dyDescent="0.35">
      <c r="A94" t="s">
        <v>156</v>
      </c>
      <c r="B94" t="s">
        <v>13</v>
      </c>
      <c r="C94">
        <v>59</v>
      </c>
      <c r="D94" t="str">
        <f>IF(Table1[[#This Row],[Age]]&lt;=4, "Toddler (0-4)",
IF(Table1[[#This Row],[Age]]&lt;=12, "Child (5-12)",
IF(Table1[[#This Row],[Age]]&lt;=19, "Adolescent (13-19)",
IF(Table1[[#This Row],[Age]]&lt;=35, "Young adult (20-35)",
IF(Table1[[#This Row],[Age]]&lt;=59, "Adult (36-59)", "Elderly (60-90)")))))</f>
        <v>Adult (36-59)</v>
      </c>
      <c r="E94" t="s">
        <v>11</v>
      </c>
      <c r="F94">
        <v>6</v>
      </c>
      <c r="G94" t="str">
        <f>IF(Table1[[#This Row],[Admission_Days]]&lt;=5, "Immediate (1-5)",
IF(Table1[[#This Row],[Admission_Days]]&lt;=10, "Short-term (6-10)",
IF(Table1[[#This Row],[Admission_Days]]&lt;=15, "Medium-term (11-15)", "Long-term (16-20)")))</f>
        <v>Short-term (6-10)</v>
      </c>
      <c r="H94" t="s">
        <v>12</v>
      </c>
      <c r="I94">
        <v>0</v>
      </c>
      <c r="J94">
        <v>3</v>
      </c>
      <c r="K94" s="1">
        <v>0</v>
      </c>
      <c r="L94" t="str">
        <f>IF(Table1[[#This Row],[Surgery_Cost_NGN]]&gt;0, "Yes", "No")</f>
        <v>No</v>
      </c>
      <c r="M94" s="1">
        <v>75591</v>
      </c>
      <c r="N94" t="str">
        <f>IF(Table1[[#This Row],[Surgery_Cost_NGN]]&gt;Table1[[#This Row],[Bill_Amount_NGN]], "Anomaly detected", "Valid")</f>
        <v>Valid</v>
      </c>
      <c r="O94" s="1">
        <f t="shared" si="1"/>
        <v>0</v>
      </c>
    </row>
    <row r="95" spans="1:15" x14ac:dyDescent="0.35">
      <c r="A95" t="s">
        <v>157</v>
      </c>
      <c r="B95" t="s">
        <v>13</v>
      </c>
      <c r="C95">
        <v>22</v>
      </c>
      <c r="D95" t="str">
        <f>IF(Table1[[#This Row],[Age]]&lt;=4, "Toddler (0-4)",
IF(Table1[[#This Row],[Age]]&lt;=12, "Child (5-12)",
IF(Table1[[#This Row],[Age]]&lt;=19, "Adolescent (13-19)",
IF(Table1[[#This Row],[Age]]&lt;=35, "Young adult (20-35)",
IF(Table1[[#This Row],[Age]]&lt;=59, "Adult (36-59)", "Elderly (60-90)")))))</f>
        <v>Young adult (20-35)</v>
      </c>
      <c r="E95" t="s">
        <v>11</v>
      </c>
      <c r="F95">
        <v>6</v>
      </c>
      <c r="G95" t="str">
        <f>IF(Table1[[#This Row],[Admission_Days]]&lt;=5, "Immediate (1-5)",
IF(Table1[[#This Row],[Admission_Days]]&lt;=10, "Short-term (6-10)",
IF(Table1[[#This Row],[Admission_Days]]&lt;=15, "Medium-term (11-15)", "Long-term (16-20)")))</f>
        <v>Short-term (6-10)</v>
      </c>
      <c r="H95" t="s">
        <v>15</v>
      </c>
      <c r="I95">
        <v>2</v>
      </c>
      <c r="J95">
        <v>3</v>
      </c>
      <c r="K95" s="1">
        <v>250000</v>
      </c>
      <c r="L95" t="str">
        <f>IF(Table1[[#This Row],[Surgery_Cost_NGN]]&gt;0, "Yes", "No")</f>
        <v>Yes</v>
      </c>
      <c r="M95" s="1">
        <v>377791</v>
      </c>
      <c r="N95" t="str">
        <f>IF(Table1[[#This Row],[Surgery_Cost_NGN]]&gt;Table1[[#This Row],[Bill_Amount_NGN]], "Anomaly detected", "Valid")</f>
        <v>Valid</v>
      </c>
      <c r="O95" s="1">
        <f t="shared" si="1"/>
        <v>66.174154492828038</v>
      </c>
    </row>
    <row r="96" spans="1:15" x14ac:dyDescent="0.35">
      <c r="A96" t="s">
        <v>158</v>
      </c>
      <c r="B96" t="s">
        <v>13</v>
      </c>
      <c r="C96">
        <v>30</v>
      </c>
      <c r="D96" t="str">
        <f>IF(Table1[[#This Row],[Age]]&lt;=4, "Toddler (0-4)",
IF(Table1[[#This Row],[Age]]&lt;=12, "Child (5-12)",
IF(Table1[[#This Row],[Age]]&lt;=19, "Adolescent (13-19)",
IF(Table1[[#This Row],[Age]]&lt;=35, "Young adult (20-35)",
IF(Table1[[#This Row],[Age]]&lt;=59, "Adult (36-59)", "Elderly (60-90)")))))</f>
        <v>Young adult (20-35)</v>
      </c>
      <c r="E96" t="s">
        <v>22</v>
      </c>
      <c r="F96">
        <v>16</v>
      </c>
      <c r="G96" t="str">
        <f>IF(Table1[[#This Row],[Admission_Days]]&lt;=5, "Immediate (1-5)",
IF(Table1[[#This Row],[Admission_Days]]&lt;=10, "Short-term (6-10)",
IF(Table1[[#This Row],[Admission_Days]]&lt;=15, "Medium-term (11-15)", "Long-term (16-20)")))</f>
        <v>Long-term (16-20)</v>
      </c>
      <c r="H96" t="s">
        <v>21</v>
      </c>
      <c r="I96">
        <v>2</v>
      </c>
      <c r="J96">
        <v>3</v>
      </c>
      <c r="K96" s="1">
        <v>613000</v>
      </c>
      <c r="L96" t="str">
        <f>IF(Table1[[#This Row],[Surgery_Cost_NGN]]&gt;0, "Yes", "No")</f>
        <v>Yes</v>
      </c>
      <c r="M96" s="1">
        <v>360000</v>
      </c>
      <c r="N96" t="str">
        <f>IF(Table1[[#This Row],[Surgery_Cost_NGN]]&gt;Table1[[#This Row],[Bill_Amount_NGN]], "Anomaly detected", "Valid")</f>
        <v>Anomaly detected</v>
      </c>
      <c r="O96" s="1">
        <f t="shared" si="1"/>
        <v>170.27777777777777</v>
      </c>
    </row>
    <row r="97" spans="1:15" x14ac:dyDescent="0.35">
      <c r="A97" t="s">
        <v>159</v>
      </c>
      <c r="B97" t="s">
        <v>13</v>
      </c>
      <c r="C97">
        <v>38</v>
      </c>
      <c r="D97" t="str">
        <f>IF(Table1[[#This Row],[Age]]&lt;=4, "Toddler (0-4)",
IF(Table1[[#This Row],[Age]]&lt;=12, "Child (5-12)",
IF(Table1[[#This Row],[Age]]&lt;=19, "Adolescent (13-19)",
IF(Table1[[#This Row],[Age]]&lt;=35, "Young adult (20-35)",
IF(Table1[[#This Row],[Age]]&lt;=59, "Adult (36-59)", "Elderly (60-90)")))))</f>
        <v>Adult (36-59)</v>
      </c>
      <c r="E97" t="s">
        <v>20</v>
      </c>
      <c r="F97">
        <v>4</v>
      </c>
      <c r="G97" t="str">
        <f>IF(Table1[[#This Row],[Admission_Days]]&lt;=5, "Immediate (1-5)",
IF(Table1[[#This Row],[Admission_Days]]&lt;=10, "Short-term (6-10)",
IF(Table1[[#This Row],[Admission_Days]]&lt;=15, "Medium-term (11-15)", "Long-term (16-20)")))</f>
        <v>Immediate (1-5)</v>
      </c>
      <c r="H97" t="s">
        <v>15</v>
      </c>
      <c r="I97">
        <v>3</v>
      </c>
      <c r="J97">
        <v>6</v>
      </c>
      <c r="K97" s="1">
        <v>0</v>
      </c>
      <c r="L97" t="str">
        <f>IF(Table1[[#This Row],[Surgery_Cost_NGN]]&gt;0, "Yes", "No")</f>
        <v>No</v>
      </c>
      <c r="M97" s="1">
        <v>146130</v>
      </c>
      <c r="N97" t="str">
        <f>IF(Table1[[#This Row],[Surgery_Cost_NGN]]&gt;Table1[[#This Row],[Bill_Amount_NGN]], "Anomaly detected", "Valid")</f>
        <v>Valid</v>
      </c>
      <c r="O97" s="1">
        <f t="shared" si="1"/>
        <v>0</v>
      </c>
    </row>
    <row r="98" spans="1:15" x14ac:dyDescent="0.35">
      <c r="A98" t="s">
        <v>160</v>
      </c>
      <c r="B98" t="s">
        <v>13</v>
      </c>
      <c r="C98">
        <v>51</v>
      </c>
      <c r="D98" t="str">
        <f>IF(Table1[[#This Row],[Age]]&lt;=4, "Toddler (0-4)",
IF(Table1[[#This Row],[Age]]&lt;=12, "Child (5-12)",
IF(Table1[[#This Row],[Age]]&lt;=19, "Adolescent (13-19)",
IF(Table1[[#This Row],[Age]]&lt;=35, "Young adult (20-35)",
IF(Table1[[#This Row],[Age]]&lt;=59, "Adult (36-59)", "Elderly (60-90)")))))</f>
        <v>Adult (36-59)</v>
      </c>
      <c r="E98" t="s">
        <v>19</v>
      </c>
      <c r="F98">
        <v>11</v>
      </c>
      <c r="G98" t="str">
        <f>IF(Table1[[#This Row],[Admission_Days]]&lt;=5, "Immediate (1-5)",
IF(Table1[[#This Row],[Admission_Days]]&lt;=10, "Short-term (6-10)",
IF(Table1[[#This Row],[Admission_Days]]&lt;=15, "Medium-term (11-15)", "Long-term (16-20)")))</f>
        <v>Medium-term (11-15)</v>
      </c>
      <c r="H98" t="s">
        <v>18</v>
      </c>
      <c r="I98">
        <v>4</v>
      </c>
      <c r="J98">
        <v>1</v>
      </c>
      <c r="K98" s="1">
        <v>0</v>
      </c>
      <c r="L98" t="str">
        <f>IF(Table1[[#This Row],[Surgery_Cost_NGN]]&gt;0, "Yes", "No")</f>
        <v>No</v>
      </c>
      <c r="M98" s="1">
        <v>149482</v>
      </c>
      <c r="N98" t="str">
        <f>IF(Table1[[#This Row],[Surgery_Cost_NGN]]&gt;Table1[[#This Row],[Bill_Amount_NGN]], "Anomaly detected", "Valid")</f>
        <v>Valid</v>
      </c>
      <c r="O98" s="1">
        <f t="shared" si="1"/>
        <v>0</v>
      </c>
    </row>
    <row r="99" spans="1:15" x14ac:dyDescent="0.35">
      <c r="A99" t="s">
        <v>161</v>
      </c>
      <c r="B99" t="s">
        <v>13</v>
      </c>
      <c r="C99">
        <v>54</v>
      </c>
      <c r="D99" t="str">
        <f>IF(Table1[[#This Row],[Age]]&lt;=4, "Toddler (0-4)",
IF(Table1[[#This Row],[Age]]&lt;=12, "Child (5-12)",
IF(Table1[[#This Row],[Age]]&lt;=19, "Adolescent (13-19)",
IF(Table1[[#This Row],[Age]]&lt;=35, "Young adult (20-35)",
IF(Table1[[#This Row],[Age]]&lt;=59, "Adult (36-59)", "Elderly (60-90)")))))</f>
        <v>Adult (36-59)</v>
      </c>
      <c r="E99" t="s">
        <v>22</v>
      </c>
      <c r="F99">
        <v>9</v>
      </c>
      <c r="G99" t="str">
        <f>IF(Table1[[#This Row],[Admission_Days]]&lt;=5, "Immediate (1-5)",
IF(Table1[[#This Row],[Admission_Days]]&lt;=10, "Short-term (6-10)",
IF(Table1[[#This Row],[Admission_Days]]&lt;=15, "Medium-term (11-15)", "Long-term (16-20)")))</f>
        <v>Short-term (6-10)</v>
      </c>
      <c r="H99" t="s">
        <v>18</v>
      </c>
      <c r="I99">
        <v>0</v>
      </c>
      <c r="J99">
        <v>7</v>
      </c>
      <c r="K99" s="1">
        <v>150000</v>
      </c>
      <c r="L99" t="str">
        <f>IF(Table1[[#This Row],[Surgery_Cost_NGN]]&gt;0, "Yes", "No")</f>
        <v>Yes</v>
      </c>
      <c r="M99" s="1">
        <v>233587</v>
      </c>
      <c r="N99" t="str">
        <f>IF(Table1[[#This Row],[Surgery_Cost_NGN]]&gt;Table1[[#This Row],[Bill_Amount_NGN]], "Anomaly detected", "Valid")</f>
        <v>Valid</v>
      </c>
      <c r="O99" s="1">
        <f t="shared" si="1"/>
        <v>64.215902426076795</v>
      </c>
    </row>
    <row r="100" spans="1:15" x14ac:dyDescent="0.35">
      <c r="A100" t="s">
        <v>162</v>
      </c>
      <c r="B100" t="s">
        <v>13</v>
      </c>
      <c r="C100">
        <v>8</v>
      </c>
      <c r="D100" t="str">
        <f>IF(Table1[[#This Row],[Age]]&lt;=4, "Toddler (0-4)",
IF(Table1[[#This Row],[Age]]&lt;=12, "Child (5-12)",
IF(Table1[[#This Row],[Age]]&lt;=19, "Adolescent (13-19)",
IF(Table1[[#This Row],[Age]]&lt;=35, "Young adult (20-35)",
IF(Table1[[#This Row],[Age]]&lt;=59, "Adult (36-59)", "Elderly (60-90)")))))</f>
        <v>Child (5-12)</v>
      </c>
      <c r="E100" t="s">
        <v>20</v>
      </c>
      <c r="F100">
        <v>3</v>
      </c>
      <c r="G100" t="str">
        <f>IF(Table1[[#This Row],[Admission_Days]]&lt;=5, "Immediate (1-5)",
IF(Table1[[#This Row],[Admission_Days]]&lt;=10, "Short-term (6-10)",
IF(Table1[[#This Row],[Admission_Days]]&lt;=15, "Medium-term (11-15)", "Long-term (16-20)")))</f>
        <v>Immediate (1-5)</v>
      </c>
      <c r="H100" t="s">
        <v>17</v>
      </c>
      <c r="I100">
        <v>2</v>
      </c>
      <c r="J100">
        <v>1</v>
      </c>
      <c r="K100" s="1">
        <v>0</v>
      </c>
      <c r="L100" t="str">
        <f>IF(Table1[[#This Row],[Surgery_Cost_NGN]]&gt;0, "Yes", "No")</f>
        <v>No</v>
      </c>
      <c r="M100" s="1">
        <v>64624</v>
      </c>
      <c r="N100" t="str">
        <f>IF(Table1[[#This Row],[Surgery_Cost_NGN]]&gt;Table1[[#This Row],[Bill_Amount_NGN]], "Anomaly detected", "Valid")</f>
        <v>Valid</v>
      </c>
      <c r="O100" s="1">
        <f t="shared" si="1"/>
        <v>0</v>
      </c>
    </row>
    <row r="101" spans="1:15" x14ac:dyDescent="0.35">
      <c r="A101" t="s">
        <v>163</v>
      </c>
      <c r="B101" t="s">
        <v>10</v>
      </c>
      <c r="C101">
        <v>27</v>
      </c>
      <c r="D101" t="str">
        <f>IF(Table1[[#This Row],[Age]]&lt;=4, "Toddler (0-4)",
IF(Table1[[#This Row],[Age]]&lt;=12, "Child (5-12)",
IF(Table1[[#This Row],[Age]]&lt;=19, "Adolescent (13-19)",
IF(Table1[[#This Row],[Age]]&lt;=35, "Young adult (20-35)",
IF(Table1[[#This Row],[Age]]&lt;=59, "Adult (36-59)", "Elderly (60-90)")))))</f>
        <v>Young adult (20-35)</v>
      </c>
      <c r="E101" t="s">
        <v>20</v>
      </c>
      <c r="F101">
        <v>19</v>
      </c>
      <c r="G101" t="str">
        <f>IF(Table1[[#This Row],[Admission_Days]]&lt;=5, "Immediate (1-5)",
IF(Table1[[#This Row],[Admission_Days]]&lt;=10, "Short-term (6-10)",
IF(Table1[[#This Row],[Admission_Days]]&lt;=15, "Medium-term (11-15)", "Long-term (16-20)")))</f>
        <v>Long-term (16-20)</v>
      </c>
      <c r="H101" t="s">
        <v>21</v>
      </c>
      <c r="I101">
        <v>0</v>
      </c>
      <c r="J101">
        <v>5</v>
      </c>
      <c r="K101" s="1">
        <v>0</v>
      </c>
      <c r="L101" t="str">
        <f>IF(Table1[[#This Row],[Surgery_Cost_NGN]]&gt;0, "Yes", "No")</f>
        <v>No</v>
      </c>
      <c r="M101" s="1">
        <v>260321</v>
      </c>
      <c r="N101" t="str">
        <f>IF(Table1[[#This Row],[Surgery_Cost_NGN]]&gt;Table1[[#This Row],[Bill_Amount_NGN]], "Anomaly detected", "Valid")</f>
        <v>Valid</v>
      </c>
      <c r="O101" s="1">
        <f t="shared" si="1"/>
        <v>0</v>
      </c>
    </row>
    <row r="102" spans="1:15" x14ac:dyDescent="0.35">
      <c r="A102" t="s">
        <v>164</v>
      </c>
      <c r="B102" t="s">
        <v>10</v>
      </c>
      <c r="C102">
        <v>27</v>
      </c>
      <c r="D102" t="str">
        <f>IF(Table1[[#This Row],[Age]]&lt;=4, "Toddler (0-4)",
IF(Table1[[#This Row],[Age]]&lt;=12, "Child (5-12)",
IF(Table1[[#This Row],[Age]]&lt;=19, "Adolescent (13-19)",
IF(Table1[[#This Row],[Age]]&lt;=35, "Young adult (20-35)",
IF(Table1[[#This Row],[Age]]&lt;=59, "Adult (36-59)", "Elderly (60-90)")))))</f>
        <v>Young adult (20-35)</v>
      </c>
      <c r="E102" t="s">
        <v>11</v>
      </c>
      <c r="F102">
        <v>8</v>
      </c>
      <c r="G102" t="str">
        <f>IF(Table1[[#This Row],[Admission_Days]]&lt;=5, "Immediate (1-5)",
IF(Table1[[#This Row],[Admission_Days]]&lt;=10, "Short-term (6-10)",
IF(Table1[[#This Row],[Admission_Days]]&lt;=15, "Medium-term (11-15)", "Long-term (16-20)")))</f>
        <v>Short-term (6-10)</v>
      </c>
      <c r="H102" t="s">
        <v>15</v>
      </c>
      <c r="I102">
        <v>1</v>
      </c>
      <c r="J102">
        <v>8</v>
      </c>
      <c r="K102" s="1">
        <v>600000</v>
      </c>
      <c r="L102" t="str">
        <f>IF(Table1[[#This Row],[Surgery_Cost_NGN]]&gt;0, "Yes", "No")</f>
        <v>Yes</v>
      </c>
      <c r="M102" s="1">
        <v>787259</v>
      </c>
      <c r="N102" t="str">
        <f>IF(Table1[[#This Row],[Surgery_Cost_NGN]]&gt;Table1[[#This Row],[Bill_Amount_NGN]], "Anomaly detected", "Valid")</f>
        <v>Valid</v>
      </c>
      <c r="O102" s="1">
        <f t="shared" si="1"/>
        <v>76.213800032771942</v>
      </c>
    </row>
    <row r="103" spans="1:15" x14ac:dyDescent="0.35">
      <c r="A103" t="s">
        <v>165</v>
      </c>
      <c r="B103" t="s">
        <v>13</v>
      </c>
      <c r="C103">
        <v>21</v>
      </c>
      <c r="D103" t="str">
        <f>IF(Table1[[#This Row],[Age]]&lt;=4, "Toddler (0-4)",
IF(Table1[[#This Row],[Age]]&lt;=12, "Child (5-12)",
IF(Table1[[#This Row],[Age]]&lt;=19, "Adolescent (13-19)",
IF(Table1[[#This Row],[Age]]&lt;=35, "Young adult (20-35)",
IF(Table1[[#This Row],[Age]]&lt;=59, "Adult (36-59)", "Elderly (60-90)")))))</f>
        <v>Young adult (20-35)</v>
      </c>
      <c r="E103" t="s">
        <v>14</v>
      </c>
      <c r="F103">
        <v>5</v>
      </c>
      <c r="G103" t="str">
        <f>IF(Table1[[#This Row],[Admission_Days]]&lt;=5, "Immediate (1-5)",
IF(Table1[[#This Row],[Admission_Days]]&lt;=10, "Short-term (6-10)",
IF(Table1[[#This Row],[Admission_Days]]&lt;=15, "Medium-term (11-15)", "Long-term (16-20)")))</f>
        <v>Immediate (1-5)</v>
      </c>
      <c r="H103" t="s">
        <v>12</v>
      </c>
      <c r="I103">
        <v>3</v>
      </c>
      <c r="J103">
        <v>4</v>
      </c>
      <c r="K103" s="1">
        <v>250000</v>
      </c>
      <c r="L103" t="str">
        <f>IF(Table1[[#This Row],[Surgery_Cost_NGN]]&gt;0, "Yes", "No")</f>
        <v>Yes</v>
      </c>
      <c r="M103" s="1">
        <v>374910</v>
      </c>
      <c r="N103" t="str">
        <f>IF(Table1[[#This Row],[Surgery_Cost_NGN]]&gt;Table1[[#This Row],[Bill_Amount_NGN]], "Anomaly detected", "Valid")</f>
        <v>Valid</v>
      </c>
      <c r="O103" s="1">
        <f t="shared" si="1"/>
        <v>66.682670507588497</v>
      </c>
    </row>
    <row r="104" spans="1:15" x14ac:dyDescent="0.35">
      <c r="A104" t="s">
        <v>166</v>
      </c>
      <c r="B104" t="s">
        <v>13</v>
      </c>
      <c r="C104">
        <v>30</v>
      </c>
      <c r="D104" t="str">
        <f>IF(Table1[[#This Row],[Age]]&lt;=4, "Toddler (0-4)",
IF(Table1[[#This Row],[Age]]&lt;=12, "Child (5-12)",
IF(Table1[[#This Row],[Age]]&lt;=19, "Adolescent (13-19)",
IF(Table1[[#This Row],[Age]]&lt;=35, "Young adult (20-35)",
IF(Table1[[#This Row],[Age]]&lt;=59, "Adult (36-59)", "Elderly (60-90)")))))</f>
        <v>Young adult (20-35)</v>
      </c>
      <c r="E104" t="s">
        <v>14</v>
      </c>
      <c r="F104">
        <v>4</v>
      </c>
      <c r="G104" t="str">
        <f>IF(Table1[[#This Row],[Admission_Days]]&lt;=5, "Immediate (1-5)",
IF(Table1[[#This Row],[Admission_Days]]&lt;=10, "Short-term (6-10)",
IF(Table1[[#This Row],[Admission_Days]]&lt;=15, "Medium-term (11-15)", "Long-term (16-20)")))</f>
        <v>Immediate (1-5)</v>
      </c>
      <c r="H104" t="s">
        <v>18</v>
      </c>
      <c r="I104">
        <v>1</v>
      </c>
      <c r="J104">
        <v>5</v>
      </c>
      <c r="K104" s="1">
        <v>0</v>
      </c>
      <c r="L104" t="str">
        <f>IF(Table1[[#This Row],[Surgery_Cost_NGN]]&gt;0, "Yes", "No")</f>
        <v>No</v>
      </c>
      <c r="M104" s="1">
        <v>85029</v>
      </c>
      <c r="N104" t="str">
        <f>IF(Table1[[#This Row],[Surgery_Cost_NGN]]&gt;Table1[[#This Row],[Bill_Amount_NGN]], "Anomaly detected", "Valid")</f>
        <v>Valid</v>
      </c>
      <c r="O104" s="1">
        <f t="shared" si="1"/>
        <v>0</v>
      </c>
    </row>
    <row r="105" spans="1:15" x14ac:dyDescent="0.35">
      <c r="A105" t="s">
        <v>167</v>
      </c>
      <c r="B105" t="s">
        <v>13</v>
      </c>
      <c r="C105">
        <v>28</v>
      </c>
      <c r="D105" t="str">
        <f>IF(Table1[[#This Row],[Age]]&lt;=4, "Toddler (0-4)",
IF(Table1[[#This Row],[Age]]&lt;=12, "Child (5-12)",
IF(Table1[[#This Row],[Age]]&lt;=19, "Adolescent (13-19)",
IF(Table1[[#This Row],[Age]]&lt;=35, "Young adult (20-35)",
IF(Table1[[#This Row],[Age]]&lt;=59, "Adult (36-59)", "Elderly (60-90)")))))</f>
        <v>Young adult (20-35)</v>
      </c>
      <c r="E105" t="s">
        <v>16</v>
      </c>
      <c r="F105">
        <v>6</v>
      </c>
      <c r="G105" t="str">
        <f>IF(Table1[[#This Row],[Admission_Days]]&lt;=5, "Immediate (1-5)",
IF(Table1[[#This Row],[Admission_Days]]&lt;=10, "Short-term (6-10)",
IF(Table1[[#This Row],[Admission_Days]]&lt;=15, "Medium-term (11-15)", "Long-term (16-20)")))</f>
        <v>Short-term (6-10)</v>
      </c>
      <c r="H105" t="s">
        <v>18</v>
      </c>
      <c r="I105">
        <v>0</v>
      </c>
      <c r="J105">
        <v>4</v>
      </c>
      <c r="K105" s="1">
        <v>400000</v>
      </c>
      <c r="L105" t="str">
        <f>IF(Table1[[#This Row],[Surgery_Cost_NGN]]&gt;0, "Yes", "No")</f>
        <v>Yes</v>
      </c>
      <c r="M105" s="1">
        <v>463828</v>
      </c>
      <c r="N105" t="str">
        <f>IF(Table1[[#This Row],[Surgery_Cost_NGN]]&gt;Table1[[#This Row],[Bill_Amount_NGN]], "Anomaly detected", "Valid")</f>
        <v>Valid</v>
      </c>
      <c r="O105" s="1">
        <f t="shared" si="1"/>
        <v>86.238864406633496</v>
      </c>
    </row>
    <row r="106" spans="1:15" x14ac:dyDescent="0.35">
      <c r="A106" t="s">
        <v>168</v>
      </c>
      <c r="B106" t="s">
        <v>13</v>
      </c>
      <c r="C106">
        <v>64</v>
      </c>
      <c r="D106" t="str">
        <f>IF(Table1[[#This Row],[Age]]&lt;=4, "Toddler (0-4)",
IF(Table1[[#This Row],[Age]]&lt;=12, "Child (5-12)",
IF(Table1[[#This Row],[Age]]&lt;=19, "Adolescent (13-19)",
IF(Table1[[#This Row],[Age]]&lt;=35, "Young adult (20-35)",
IF(Table1[[#This Row],[Age]]&lt;=59, "Adult (36-59)", "Elderly (60-90)")))))</f>
        <v>Elderly (60-90)</v>
      </c>
      <c r="E106" t="s">
        <v>11</v>
      </c>
      <c r="F106">
        <v>2</v>
      </c>
      <c r="G106" t="str">
        <f>IF(Table1[[#This Row],[Admission_Days]]&lt;=5, "Immediate (1-5)",
IF(Table1[[#This Row],[Admission_Days]]&lt;=10, "Short-term (6-10)",
IF(Table1[[#This Row],[Admission_Days]]&lt;=15, "Medium-term (11-15)", "Long-term (16-20)")))</f>
        <v>Immediate (1-5)</v>
      </c>
      <c r="H106" t="s">
        <v>12</v>
      </c>
      <c r="I106">
        <v>0</v>
      </c>
      <c r="J106">
        <v>4</v>
      </c>
      <c r="K106" s="1">
        <v>250000</v>
      </c>
      <c r="L106" t="str">
        <f>IF(Table1[[#This Row],[Surgery_Cost_NGN]]&gt;0, "Yes", "No")</f>
        <v>Yes</v>
      </c>
      <c r="M106" s="1">
        <v>301976</v>
      </c>
      <c r="N106" t="str">
        <f>IF(Table1[[#This Row],[Surgery_Cost_NGN]]&gt;Table1[[#This Row],[Bill_Amount_NGN]], "Anomaly detected", "Valid")</f>
        <v>Valid</v>
      </c>
      <c r="O106" s="1">
        <f t="shared" si="1"/>
        <v>82.788036135322002</v>
      </c>
    </row>
    <row r="107" spans="1:15" x14ac:dyDescent="0.35">
      <c r="A107" t="s">
        <v>169</v>
      </c>
      <c r="B107" t="s">
        <v>13</v>
      </c>
      <c r="C107">
        <v>69</v>
      </c>
      <c r="D107" t="str">
        <f>IF(Table1[[#This Row],[Age]]&lt;=4, "Toddler (0-4)",
IF(Table1[[#This Row],[Age]]&lt;=12, "Child (5-12)",
IF(Table1[[#This Row],[Age]]&lt;=19, "Adolescent (13-19)",
IF(Table1[[#This Row],[Age]]&lt;=35, "Young adult (20-35)",
IF(Table1[[#This Row],[Age]]&lt;=59, "Adult (36-59)", "Elderly (60-90)")))))</f>
        <v>Elderly (60-90)</v>
      </c>
      <c r="E107" t="s">
        <v>20</v>
      </c>
      <c r="F107">
        <v>20</v>
      </c>
      <c r="G107" t="str">
        <f>IF(Table1[[#This Row],[Admission_Days]]&lt;=5, "Immediate (1-5)",
IF(Table1[[#This Row],[Admission_Days]]&lt;=10, "Short-term (6-10)",
IF(Table1[[#This Row],[Admission_Days]]&lt;=15, "Medium-term (11-15)", "Long-term (16-20)")))</f>
        <v>Long-term (16-20)</v>
      </c>
      <c r="H107" t="s">
        <v>15</v>
      </c>
      <c r="I107">
        <v>4</v>
      </c>
      <c r="J107">
        <v>8</v>
      </c>
      <c r="K107" s="1">
        <v>600000</v>
      </c>
      <c r="L107" t="str">
        <f>IF(Table1[[#This Row],[Surgery_Cost_NGN]]&gt;0, "Yes", "No")</f>
        <v>Yes</v>
      </c>
      <c r="M107" s="1">
        <v>778464</v>
      </c>
      <c r="N107" t="str">
        <f>IF(Table1[[#This Row],[Surgery_Cost_NGN]]&gt;Table1[[#This Row],[Bill_Amount_NGN]], "Anomaly detected", "Valid")</f>
        <v>Valid</v>
      </c>
      <c r="O107" s="1">
        <f t="shared" si="1"/>
        <v>77.074855099272412</v>
      </c>
    </row>
    <row r="108" spans="1:15" x14ac:dyDescent="0.35">
      <c r="A108" t="s">
        <v>170</v>
      </c>
      <c r="B108" t="s">
        <v>13</v>
      </c>
      <c r="C108">
        <v>61</v>
      </c>
      <c r="D108" t="str">
        <f>IF(Table1[[#This Row],[Age]]&lt;=4, "Toddler (0-4)",
IF(Table1[[#This Row],[Age]]&lt;=12, "Child (5-12)",
IF(Table1[[#This Row],[Age]]&lt;=19, "Adolescent (13-19)",
IF(Table1[[#This Row],[Age]]&lt;=35, "Young adult (20-35)",
IF(Table1[[#This Row],[Age]]&lt;=59, "Adult (36-59)", "Elderly (60-90)")))))</f>
        <v>Elderly (60-90)</v>
      </c>
      <c r="E108" t="s">
        <v>19</v>
      </c>
      <c r="F108">
        <v>11</v>
      </c>
      <c r="G108" t="str">
        <f>IF(Table1[[#This Row],[Admission_Days]]&lt;=5, "Immediate (1-5)",
IF(Table1[[#This Row],[Admission_Days]]&lt;=10, "Short-term (6-10)",
IF(Table1[[#This Row],[Admission_Days]]&lt;=15, "Medium-term (11-15)", "Long-term (16-20)")))</f>
        <v>Medium-term (11-15)</v>
      </c>
      <c r="H108" t="s">
        <v>15</v>
      </c>
      <c r="I108">
        <v>2</v>
      </c>
      <c r="J108">
        <v>2</v>
      </c>
      <c r="K108" s="1">
        <v>0</v>
      </c>
      <c r="L108" t="str">
        <f>IF(Table1[[#This Row],[Surgery_Cost_NGN]]&gt;0, "Yes", "No")</f>
        <v>No</v>
      </c>
      <c r="M108" s="1">
        <v>133371</v>
      </c>
      <c r="N108" t="str">
        <f>IF(Table1[[#This Row],[Surgery_Cost_NGN]]&gt;Table1[[#This Row],[Bill_Amount_NGN]], "Anomaly detected", "Valid")</f>
        <v>Valid</v>
      </c>
      <c r="O108" s="1">
        <f t="shared" si="1"/>
        <v>0</v>
      </c>
    </row>
    <row r="109" spans="1:15" x14ac:dyDescent="0.35">
      <c r="A109" t="s">
        <v>171</v>
      </c>
      <c r="B109" t="s">
        <v>13</v>
      </c>
      <c r="C109">
        <v>48</v>
      </c>
      <c r="D109" t="str">
        <f>IF(Table1[[#This Row],[Age]]&lt;=4, "Toddler (0-4)",
IF(Table1[[#This Row],[Age]]&lt;=12, "Child (5-12)",
IF(Table1[[#This Row],[Age]]&lt;=19, "Adolescent (13-19)",
IF(Table1[[#This Row],[Age]]&lt;=35, "Young adult (20-35)",
IF(Table1[[#This Row],[Age]]&lt;=59, "Adult (36-59)", "Elderly (60-90)")))))</f>
        <v>Adult (36-59)</v>
      </c>
      <c r="E109" t="s">
        <v>14</v>
      </c>
      <c r="F109">
        <v>4</v>
      </c>
      <c r="G109" t="str">
        <f>IF(Table1[[#This Row],[Admission_Days]]&lt;=5, "Immediate (1-5)",
IF(Table1[[#This Row],[Admission_Days]]&lt;=10, "Short-term (6-10)",
IF(Table1[[#This Row],[Admission_Days]]&lt;=15, "Medium-term (11-15)", "Long-term (16-20)")))</f>
        <v>Immediate (1-5)</v>
      </c>
      <c r="H109" t="s">
        <v>21</v>
      </c>
      <c r="I109">
        <v>2</v>
      </c>
      <c r="J109">
        <v>1</v>
      </c>
      <c r="K109" s="1">
        <v>150000</v>
      </c>
      <c r="L109" t="str">
        <f>IF(Table1[[#This Row],[Surgery_Cost_NGN]]&gt;0, "Yes", "No")</f>
        <v>Yes</v>
      </c>
      <c r="M109" s="1">
        <v>194166</v>
      </c>
      <c r="N109" t="str">
        <f>IF(Table1[[#This Row],[Surgery_Cost_NGN]]&gt;Table1[[#This Row],[Bill_Amount_NGN]], "Anomaly detected", "Valid")</f>
        <v>Valid</v>
      </c>
      <c r="O109" s="1">
        <f t="shared" si="1"/>
        <v>77.253484132134361</v>
      </c>
    </row>
    <row r="110" spans="1:15" x14ac:dyDescent="0.35">
      <c r="A110" t="s">
        <v>172</v>
      </c>
      <c r="B110" t="s">
        <v>13</v>
      </c>
      <c r="C110">
        <v>19</v>
      </c>
      <c r="D110" t="str">
        <f>IF(Table1[[#This Row],[Age]]&lt;=4, "Toddler (0-4)",
IF(Table1[[#This Row],[Age]]&lt;=12, "Child (5-12)",
IF(Table1[[#This Row],[Age]]&lt;=19, "Adolescent (13-19)",
IF(Table1[[#This Row],[Age]]&lt;=35, "Young adult (20-35)",
IF(Table1[[#This Row],[Age]]&lt;=59, "Adult (36-59)", "Elderly (60-90)")))))</f>
        <v>Adolescent (13-19)</v>
      </c>
      <c r="E110" t="s">
        <v>20</v>
      </c>
      <c r="F110">
        <v>15</v>
      </c>
      <c r="G110" t="str">
        <f>IF(Table1[[#This Row],[Admission_Days]]&lt;=5, "Immediate (1-5)",
IF(Table1[[#This Row],[Admission_Days]]&lt;=10, "Short-term (6-10)",
IF(Table1[[#This Row],[Admission_Days]]&lt;=15, "Medium-term (11-15)", "Long-term (16-20)")))</f>
        <v>Medium-term (11-15)</v>
      </c>
      <c r="H110" t="s">
        <v>21</v>
      </c>
      <c r="I110">
        <v>1</v>
      </c>
      <c r="J110">
        <v>3</v>
      </c>
      <c r="K110" s="1">
        <v>600000</v>
      </c>
      <c r="L110" t="str">
        <f>IF(Table1[[#This Row],[Surgery_Cost_NGN]]&gt;0, "Yes", "No")</f>
        <v>Yes</v>
      </c>
      <c r="M110" s="1">
        <v>836607</v>
      </c>
      <c r="N110" t="str">
        <f>IF(Table1[[#This Row],[Surgery_Cost_NGN]]&gt;Table1[[#This Row],[Bill_Amount_NGN]], "Anomaly detected", "Valid")</f>
        <v>Valid</v>
      </c>
      <c r="O110" s="1">
        <f t="shared" si="1"/>
        <v>71.71826197963918</v>
      </c>
    </row>
    <row r="111" spans="1:15" x14ac:dyDescent="0.35">
      <c r="A111" t="s">
        <v>173</v>
      </c>
      <c r="B111" t="s">
        <v>10</v>
      </c>
      <c r="C111">
        <v>4</v>
      </c>
      <c r="D111" t="str">
        <f>IF(Table1[[#This Row],[Age]]&lt;=4, "Toddler (0-4)",
IF(Table1[[#This Row],[Age]]&lt;=12, "Child (5-12)",
IF(Table1[[#This Row],[Age]]&lt;=19, "Adolescent (13-19)",
IF(Table1[[#This Row],[Age]]&lt;=35, "Young adult (20-35)",
IF(Table1[[#This Row],[Age]]&lt;=59, "Adult (36-59)", "Elderly (60-90)")))))</f>
        <v>Toddler (0-4)</v>
      </c>
      <c r="E111" t="s">
        <v>14</v>
      </c>
      <c r="F111">
        <v>6</v>
      </c>
      <c r="G111" t="str">
        <f>IF(Table1[[#This Row],[Admission_Days]]&lt;=5, "Immediate (1-5)",
IF(Table1[[#This Row],[Admission_Days]]&lt;=10, "Short-term (6-10)",
IF(Table1[[#This Row],[Admission_Days]]&lt;=15, "Medium-term (11-15)", "Long-term (16-20)")))</f>
        <v>Short-term (6-10)</v>
      </c>
      <c r="H111" t="s">
        <v>17</v>
      </c>
      <c r="I111">
        <v>3</v>
      </c>
      <c r="J111">
        <v>9</v>
      </c>
      <c r="K111" s="1">
        <v>0</v>
      </c>
      <c r="L111" t="str">
        <f>IF(Table1[[#This Row],[Surgery_Cost_NGN]]&gt;0, "Yes", "No")</f>
        <v>No</v>
      </c>
      <c r="M111" s="1">
        <v>177921</v>
      </c>
      <c r="N111" t="str">
        <f>IF(Table1[[#This Row],[Surgery_Cost_NGN]]&gt;Table1[[#This Row],[Bill_Amount_NGN]], "Anomaly detected", "Valid")</f>
        <v>Valid</v>
      </c>
      <c r="O111" s="1">
        <f t="shared" si="1"/>
        <v>0</v>
      </c>
    </row>
    <row r="112" spans="1:15" x14ac:dyDescent="0.35">
      <c r="A112" t="s">
        <v>174</v>
      </c>
      <c r="B112" t="s">
        <v>13</v>
      </c>
      <c r="C112">
        <v>35</v>
      </c>
      <c r="D112" t="str">
        <f>IF(Table1[[#This Row],[Age]]&lt;=4, "Toddler (0-4)",
IF(Table1[[#This Row],[Age]]&lt;=12, "Child (5-12)",
IF(Table1[[#This Row],[Age]]&lt;=19, "Adolescent (13-19)",
IF(Table1[[#This Row],[Age]]&lt;=35, "Young adult (20-35)",
IF(Table1[[#This Row],[Age]]&lt;=59, "Adult (36-59)", "Elderly (60-90)")))))</f>
        <v>Young adult (20-35)</v>
      </c>
      <c r="E112" t="s">
        <v>14</v>
      </c>
      <c r="F112">
        <v>17</v>
      </c>
      <c r="G112" t="str">
        <f>IF(Table1[[#This Row],[Admission_Days]]&lt;=5, "Immediate (1-5)",
IF(Table1[[#This Row],[Admission_Days]]&lt;=10, "Short-term (6-10)",
IF(Table1[[#This Row],[Admission_Days]]&lt;=15, "Medium-term (11-15)", "Long-term (16-20)")))</f>
        <v>Long-term (16-20)</v>
      </c>
      <c r="H112" t="s">
        <v>18</v>
      </c>
      <c r="I112">
        <v>5</v>
      </c>
      <c r="J112">
        <v>4</v>
      </c>
      <c r="K112" s="1">
        <v>0</v>
      </c>
      <c r="L112" t="str">
        <f>IF(Table1[[#This Row],[Surgery_Cost_NGN]]&gt;0, "Yes", "No")</f>
        <v>No</v>
      </c>
      <c r="M112" s="1">
        <v>217797</v>
      </c>
      <c r="N112" t="str">
        <f>IF(Table1[[#This Row],[Surgery_Cost_NGN]]&gt;Table1[[#This Row],[Bill_Amount_NGN]], "Anomaly detected", "Valid")</f>
        <v>Valid</v>
      </c>
      <c r="O112" s="1">
        <f t="shared" si="1"/>
        <v>0</v>
      </c>
    </row>
    <row r="113" spans="1:15" x14ac:dyDescent="0.35">
      <c r="A113" t="s">
        <v>175</v>
      </c>
      <c r="B113" t="s">
        <v>10</v>
      </c>
      <c r="C113">
        <v>64</v>
      </c>
      <c r="D113" t="str">
        <f>IF(Table1[[#This Row],[Age]]&lt;=4, "Toddler (0-4)",
IF(Table1[[#This Row],[Age]]&lt;=12, "Child (5-12)",
IF(Table1[[#This Row],[Age]]&lt;=19, "Adolescent (13-19)",
IF(Table1[[#This Row],[Age]]&lt;=35, "Young adult (20-35)",
IF(Table1[[#This Row],[Age]]&lt;=59, "Adult (36-59)", "Elderly (60-90)")))))</f>
        <v>Elderly (60-90)</v>
      </c>
      <c r="E113" t="s">
        <v>14</v>
      </c>
      <c r="F113">
        <v>6</v>
      </c>
      <c r="G113" t="str">
        <f>IF(Table1[[#This Row],[Admission_Days]]&lt;=5, "Immediate (1-5)",
IF(Table1[[#This Row],[Admission_Days]]&lt;=10, "Short-term (6-10)",
IF(Table1[[#This Row],[Admission_Days]]&lt;=15, "Medium-term (11-15)", "Long-term (16-20)")))</f>
        <v>Short-term (6-10)</v>
      </c>
      <c r="H113" t="s">
        <v>21</v>
      </c>
      <c r="I113">
        <v>2</v>
      </c>
      <c r="J113">
        <v>5</v>
      </c>
      <c r="K113" s="1">
        <v>0</v>
      </c>
      <c r="L113" t="str">
        <f>IF(Table1[[#This Row],[Surgery_Cost_NGN]]&gt;0, "Yes", "No")</f>
        <v>No</v>
      </c>
      <c r="M113" s="1">
        <v>111598</v>
      </c>
      <c r="N113" t="str">
        <f>IF(Table1[[#This Row],[Surgery_Cost_NGN]]&gt;Table1[[#This Row],[Bill_Amount_NGN]], "Anomaly detected", "Valid")</f>
        <v>Valid</v>
      </c>
      <c r="O113" s="1">
        <f t="shared" si="1"/>
        <v>0</v>
      </c>
    </row>
    <row r="114" spans="1:15" x14ac:dyDescent="0.35">
      <c r="A114" t="s">
        <v>176</v>
      </c>
      <c r="B114" t="s">
        <v>13</v>
      </c>
      <c r="C114">
        <v>49</v>
      </c>
      <c r="D114" t="str">
        <f>IF(Table1[[#This Row],[Age]]&lt;=4, "Toddler (0-4)",
IF(Table1[[#This Row],[Age]]&lt;=12, "Child (5-12)",
IF(Table1[[#This Row],[Age]]&lt;=19, "Adolescent (13-19)",
IF(Table1[[#This Row],[Age]]&lt;=35, "Young adult (20-35)",
IF(Table1[[#This Row],[Age]]&lt;=59, "Adult (36-59)", "Elderly (60-90)")))))</f>
        <v>Adult (36-59)</v>
      </c>
      <c r="E114" t="s">
        <v>19</v>
      </c>
      <c r="F114">
        <v>19</v>
      </c>
      <c r="G114" t="str">
        <f>IF(Table1[[#This Row],[Admission_Days]]&lt;=5, "Immediate (1-5)",
IF(Table1[[#This Row],[Admission_Days]]&lt;=10, "Short-term (6-10)",
IF(Table1[[#This Row],[Admission_Days]]&lt;=15, "Medium-term (11-15)", "Long-term (16-20)")))</f>
        <v>Long-term (16-20)</v>
      </c>
      <c r="H114" t="s">
        <v>15</v>
      </c>
      <c r="I114">
        <v>4</v>
      </c>
      <c r="J114">
        <v>2</v>
      </c>
      <c r="K114" s="1">
        <v>400000</v>
      </c>
      <c r="L114" t="str">
        <f>IF(Table1[[#This Row],[Surgery_Cost_NGN]]&gt;0, "Yes", "No")</f>
        <v>Yes</v>
      </c>
      <c r="M114" s="1">
        <v>691432</v>
      </c>
      <c r="N114" t="str">
        <f>IF(Table1[[#This Row],[Surgery_Cost_NGN]]&gt;Table1[[#This Row],[Bill_Amount_NGN]], "Anomaly detected", "Valid")</f>
        <v>Valid</v>
      </c>
      <c r="O114" s="1">
        <f t="shared" si="1"/>
        <v>57.850952805192705</v>
      </c>
    </row>
    <row r="115" spans="1:15" x14ac:dyDescent="0.35">
      <c r="A115" t="s">
        <v>177</v>
      </c>
      <c r="B115" t="s">
        <v>13</v>
      </c>
      <c r="C115">
        <v>17</v>
      </c>
      <c r="D115" t="str">
        <f>IF(Table1[[#This Row],[Age]]&lt;=4, "Toddler (0-4)",
IF(Table1[[#This Row],[Age]]&lt;=12, "Child (5-12)",
IF(Table1[[#This Row],[Age]]&lt;=19, "Adolescent (13-19)",
IF(Table1[[#This Row],[Age]]&lt;=35, "Young adult (20-35)",
IF(Table1[[#This Row],[Age]]&lt;=59, "Adult (36-59)", "Elderly (60-90)")))))</f>
        <v>Adolescent (13-19)</v>
      </c>
      <c r="E115" t="s">
        <v>11</v>
      </c>
      <c r="F115">
        <v>2</v>
      </c>
      <c r="G115" t="str">
        <f>IF(Table1[[#This Row],[Admission_Days]]&lt;=5, "Immediate (1-5)",
IF(Table1[[#This Row],[Admission_Days]]&lt;=10, "Short-term (6-10)",
IF(Table1[[#This Row],[Admission_Days]]&lt;=15, "Medium-term (11-15)", "Long-term (16-20)")))</f>
        <v>Immediate (1-5)</v>
      </c>
      <c r="H115" t="s">
        <v>12</v>
      </c>
      <c r="I115">
        <v>1</v>
      </c>
      <c r="J115">
        <v>4</v>
      </c>
      <c r="K115" s="1">
        <v>250000</v>
      </c>
      <c r="L115" t="str">
        <f>IF(Table1[[#This Row],[Surgery_Cost_NGN]]&gt;0, "Yes", "No")</f>
        <v>Yes</v>
      </c>
      <c r="M115" s="1">
        <v>305919</v>
      </c>
      <c r="N115" t="str">
        <f>IF(Table1[[#This Row],[Surgery_Cost_NGN]]&gt;Table1[[#This Row],[Bill_Amount_NGN]], "Anomaly detected", "Valid")</f>
        <v>Valid</v>
      </c>
      <c r="O115" s="1">
        <f t="shared" si="1"/>
        <v>81.720978428930536</v>
      </c>
    </row>
    <row r="116" spans="1:15" x14ac:dyDescent="0.35">
      <c r="A116" t="s">
        <v>178</v>
      </c>
      <c r="B116" t="s">
        <v>10</v>
      </c>
      <c r="C116">
        <v>44</v>
      </c>
      <c r="D116" t="str">
        <f>IF(Table1[[#This Row],[Age]]&lt;=4, "Toddler (0-4)",
IF(Table1[[#This Row],[Age]]&lt;=12, "Child (5-12)",
IF(Table1[[#This Row],[Age]]&lt;=19, "Adolescent (13-19)",
IF(Table1[[#This Row],[Age]]&lt;=35, "Young adult (20-35)",
IF(Table1[[#This Row],[Age]]&lt;=59, "Adult (36-59)", "Elderly (60-90)")))))</f>
        <v>Adult (36-59)</v>
      </c>
      <c r="E116" t="s">
        <v>19</v>
      </c>
      <c r="F116">
        <v>15</v>
      </c>
      <c r="G116" t="str">
        <f>IF(Table1[[#This Row],[Admission_Days]]&lt;=5, "Immediate (1-5)",
IF(Table1[[#This Row],[Admission_Days]]&lt;=10, "Short-term (6-10)",
IF(Table1[[#This Row],[Admission_Days]]&lt;=15, "Medium-term (11-15)", "Long-term (16-20)")))</f>
        <v>Medium-term (11-15)</v>
      </c>
      <c r="H116" t="s">
        <v>15</v>
      </c>
      <c r="I116">
        <v>1</v>
      </c>
      <c r="J116">
        <v>2</v>
      </c>
      <c r="K116" s="1">
        <v>250000</v>
      </c>
      <c r="L116" t="str">
        <f>IF(Table1[[#This Row],[Surgery_Cost_NGN]]&gt;0, "Yes", "No")</f>
        <v>Yes</v>
      </c>
      <c r="M116" s="1">
        <v>462010</v>
      </c>
      <c r="N116" t="str">
        <f>IF(Table1[[#This Row],[Surgery_Cost_NGN]]&gt;Table1[[#This Row],[Bill_Amount_NGN]], "Anomaly detected", "Valid")</f>
        <v>Valid</v>
      </c>
      <c r="O116" s="1">
        <f t="shared" si="1"/>
        <v>54.111382870500634</v>
      </c>
    </row>
    <row r="117" spans="1:15" x14ac:dyDescent="0.35">
      <c r="A117" t="s">
        <v>179</v>
      </c>
      <c r="B117" t="s">
        <v>13</v>
      </c>
      <c r="C117">
        <v>30</v>
      </c>
      <c r="D117" t="str">
        <f>IF(Table1[[#This Row],[Age]]&lt;=4, "Toddler (0-4)",
IF(Table1[[#This Row],[Age]]&lt;=12, "Child (5-12)",
IF(Table1[[#This Row],[Age]]&lt;=19, "Adolescent (13-19)",
IF(Table1[[#This Row],[Age]]&lt;=35, "Young adult (20-35)",
IF(Table1[[#This Row],[Age]]&lt;=59, "Adult (36-59)", "Elderly (60-90)")))))</f>
        <v>Young adult (20-35)</v>
      </c>
      <c r="E117" t="s">
        <v>22</v>
      </c>
      <c r="F117">
        <v>11</v>
      </c>
      <c r="G117" t="str">
        <f>IF(Table1[[#This Row],[Admission_Days]]&lt;=5, "Immediate (1-5)",
IF(Table1[[#This Row],[Admission_Days]]&lt;=10, "Short-term (6-10)",
IF(Table1[[#This Row],[Admission_Days]]&lt;=15, "Medium-term (11-15)", "Long-term (16-20)")))</f>
        <v>Medium-term (11-15)</v>
      </c>
      <c r="H117" t="s">
        <v>18</v>
      </c>
      <c r="I117">
        <v>5</v>
      </c>
      <c r="J117">
        <v>2</v>
      </c>
      <c r="K117" s="1">
        <v>0</v>
      </c>
      <c r="L117" t="str">
        <f>IF(Table1[[#This Row],[Surgery_Cost_NGN]]&gt;0, "Yes", "No")</f>
        <v>No</v>
      </c>
      <c r="M117" s="1">
        <v>259333</v>
      </c>
      <c r="N117" t="str">
        <f>IF(Table1[[#This Row],[Surgery_Cost_NGN]]&gt;Table1[[#This Row],[Bill_Amount_NGN]], "Anomaly detected", "Valid")</f>
        <v>Valid</v>
      </c>
      <c r="O117" s="1">
        <f t="shared" si="1"/>
        <v>0</v>
      </c>
    </row>
    <row r="118" spans="1:15" x14ac:dyDescent="0.35">
      <c r="A118" t="s">
        <v>180</v>
      </c>
      <c r="B118" t="s">
        <v>10</v>
      </c>
      <c r="C118">
        <v>46</v>
      </c>
      <c r="D118" t="str">
        <f>IF(Table1[[#This Row],[Age]]&lt;=4, "Toddler (0-4)",
IF(Table1[[#This Row],[Age]]&lt;=12, "Child (5-12)",
IF(Table1[[#This Row],[Age]]&lt;=19, "Adolescent (13-19)",
IF(Table1[[#This Row],[Age]]&lt;=35, "Young adult (20-35)",
IF(Table1[[#This Row],[Age]]&lt;=59, "Adult (36-59)", "Elderly (60-90)")))))</f>
        <v>Adult (36-59)</v>
      </c>
      <c r="E118" t="s">
        <v>20</v>
      </c>
      <c r="F118">
        <v>8</v>
      </c>
      <c r="G118" t="str">
        <f>IF(Table1[[#This Row],[Admission_Days]]&lt;=5, "Immediate (1-5)",
IF(Table1[[#This Row],[Admission_Days]]&lt;=10, "Short-term (6-10)",
IF(Table1[[#This Row],[Admission_Days]]&lt;=15, "Medium-term (11-15)", "Long-term (16-20)")))</f>
        <v>Short-term (6-10)</v>
      </c>
      <c r="H118" t="s">
        <v>15</v>
      </c>
      <c r="I118">
        <v>4</v>
      </c>
      <c r="J118">
        <v>4</v>
      </c>
      <c r="K118" s="1">
        <v>400000</v>
      </c>
      <c r="L118" t="str">
        <f>IF(Table1[[#This Row],[Surgery_Cost_NGN]]&gt;0, "Yes", "No")</f>
        <v>Yes</v>
      </c>
      <c r="M118" s="1">
        <v>569688</v>
      </c>
      <c r="N118" t="str">
        <f>IF(Table1[[#This Row],[Surgery_Cost_NGN]]&gt;Table1[[#This Row],[Bill_Amount_NGN]], "Anomaly detected", "Valid")</f>
        <v>Valid</v>
      </c>
      <c r="O118" s="1">
        <f t="shared" si="1"/>
        <v>70.213871452444138</v>
      </c>
    </row>
    <row r="119" spans="1:15" x14ac:dyDescent="0.35">
      <c r="A119" t="s">
        <v>181</v>
      </c>
      <c r="B119" t="s">
        <v>13</v>
      </c>
      <c r="C119">
        <v>6</v>
      </c>
      <c r="D119" t="str">
        <f>IF(Table1[[#This Row],[Age]]&lt;=4, "Toddler (0-4)",
IF(Table1[[#This Row],[Age]]&lt;=12, "Child (5-12)",
IF(Table1[[#This Row],[Age]]&lt;=19, "Adolescent (13-19)",
IF(Table1[[#This Row],[Age]]&lt;=35, "Young adult (20-35)",
IF(Table1[[#This Row],[Age]]&lt;=59, "Adult (36-59)", "Elderly (60-90)")))))</f>
        <v>Child (5-12)</v>
      </c>
      <c r="E119" t="s">
        <v>11</v>
      </c>
      <c r="F119">
        <v>19</v>
      </c>
      <c r="G119" t="str">
        <f>IF(Table1[[#This Row],[Admission_Days]]&lt;=5, "Immediate (1-5)",
IF(Table1[[#This Row],[Admission_Days]]&lt;=10, "Short-term (6-10)",
IF(Table1[[#This Row],[Admission_Days]]&lt;=15, "Medium-term (11-15)", "Long-term (16-20)")))</f>
        <v>Long-term (16-20)</v>
      </c>
      <c r="H119" t="s">
        <v>17</v>
      </c>
      <c r="I119">
        <v>3</v>
      </c>
      <c r="J119">
        <v>6</v>
      </c>
      <c r="K119" s="1">
        <v>0</v>
      </c>
      <c r="L119" t="str">
        <f>IF(Table1[[#This Row],[Surgery_Cost_NGN]]&gt;0, "Yes", "No")</f>
        <v>No</v>
      </c>
      <c r="M119" s="1">
        <v>317221</v>
      </c>
      <c r="N119" t="str">
        <f>IF(Table1[[#This Row],[Surgery_Cost_NGN]]&gt;Table1[[#This Row],[Bill_Amount_NGN]], "Anomaly detected", "Valid")</f>
        <v>Valid</v>
      </c>
      <c r="O119" s="1">
        <f t="shared" si="1"/>
        <v>0</v>
      </c>
    </row>
    <row r="120" spans="1:15" x14ac:dyDescent="0.35">
      <c r="A120" t="s">
        <v>182</v>
      </c>
      <c r="B120" t="s">
        <v>13</v>
      </c>
      <c r="C120">
        <v>37</v>
      </c>
      <c r="D120" t="str">
        <f>IF(Table1[[#This Row],[Age]]&lt;=4, "Toddler (0-4)",
IF(Table1[[#This Row],[Age]]&lt;=12, "Child (5-12)",
IF(Table1[[#This Row],[Age]]&lt;=19, "Adolescent (13-19)",
IF(Table1[[#This Row],[Age]]&lt;=35, "Young adult (20-35)",
IF(Table1[[#This Row],[Age]]&lt;=59, "Adult (36-59)", "Elderly (60-90)")))))</f>
        <v>Adult (36-59)</v>
      </c>
      <c r="E120" t="s">
        <v>11</v>
      </c>
      <c r="F120">
        <v>13</v>
      </c>
      <c r="G120" t="str">
        <f>IF(Table1[[#This Row],[Admission_Days]]&lt;=5, "Immediate (1-5)",
IF(Table1[[#This Row],[Admission_Days]]&lt;=10, "Short-term (6-10)",
IF(Table1[[#This Row],[Admission_Days]]&lt;=15, "Medium-term (11-15)", "Long-term (16-20)")))</f>
        <v>Medium-term (11-15)</v>
      </c>
      <c r="H120" t="s">
        <v>18</v>
      </c>
      <c r="I120">
        <v>4</v>
      </c>
      <c r="J120">
        <v>7</v>
      </c>
      <c r="K120" s="1">
        <v>0</v>
      </c>
      <c r="L120" t="str">
        <f>IF(Table1[[#This Row],[Surgery_Cost_NGN]]&gt;0, "Yes", "No")</f>
        <v>No</v>
      </c>
      <c r="M120" s="1">
        <v>159954</v>
      </c>
      <c r="N120" t="str">
        <f>IF(Table1[[#This Row],[Surgery_Cost_NGN]]&gt;Table1[[#This Row],[Bill_Amount_NGN]], "Anomaly detected", "Valid")</f>
        <v>Valid</v>
      </c>
      <c r="O120" s="1">
        <f t="shared" si="1"/>
        <v>0</v>
      </c>
    </row>
    <row r="121" spans="1:15" x14ac:dyDescent="0.35">
      <c r="A121" t="s">
        <v>183</v>
      </c>
      <c r="B121" t="s">
        <v>10</v>
      </c>
      <c r="C121">
        <v>24</v>
      </c>
      <c r="D121" t="str">
        <f>IF(Table1[[#This Row],[Age]]&lt;=4, "Toddler (0-4)",
IF(Table1[[#This Row],[Age]]&lt;=12, "Child (5-12)",
IF(Table1[[#This Row],[Age]]&lt;=19, "Adolescent (13-19)",
IF(Table1[[#This Row],[Age]]&lt;=35, "Young adult (20-35)",
IF(Table1[[#This Row],[Age]]&lt;=59, "Adult (36-59)", "Elderly (60-90)")))))</f>
        <v>Young adult (20-35)</v>
      </c>
      <c r="E121" t="s">
        <v>11</v>
      </c>
      <c r="F121">
        <v>12</v>
      </c>
      <c r="G121" t="str">
        <f>IF(Table1[[#This Row],[Admission_Days]]&lt;=5, "Immediate (1-5)",
IF(Table1[[#This Row],[Admission_Days]]&lt;=10, "Short-term (6-10)",
IF(Table1[[#This Row],[Admission_Days]]&lt;=15, "Medium-term (11-15)", "Long-term (16-20)")))</f>
        <v>Medium-term (11-15)</v>
      </c>
      <c r="H121" t="s">
        <v>12</v>
      </c>
      <c r="I121">
        <v>3</v>
      </c>
      <c r="J121">
        <v>3</v>
      </c>
      <c r="K121" s="1">
        <v>0</v>
      </c>
      <c r="L121" t="str">
        <f>IF(Table1[[#This Row],[Surgery_Cost_NGN]]&gt;0, "Yes", "No")</f>
        <v>No</v>
      </c>
      <c r="M121" s="1">
        <v>240927</v>
      </c>
      <c r="N121" t="str">
        <f>IF(Table1[[#This Row],[Surgery_Cost_NGN]]&gt;Table1[[#This Row],[Bill_Amount_NGN]], "Anomaly detected", "Valid")</f>
        <v>Valid</v>
      </c>
      <c r="O121" s="1">
        <f t="shared" si="1"/>
        <v>0</v>
      </c>
    </row>
    <row r="122" spans="1:15" x14ac:dyDescent="0.35">
      <c r="A122" t="s">
        <v>184</v>
      </c>
      <c r="B122" t="s">
        <v>13</v>
      </c>
      <c r="C122">
        <v>46</v>
      </c>
      <c r="D122" t="str">
        <f>IF(Table1[[#This Row],[Age]]&lt;=4, "Toddler (0-4)",
IF(Table1[[#This Row],[Age]]&lt;=12, "Child (5-12)",
IF(Table1[[#This Row],[Age]]&lt;=19, "Adolescent (13-19)",
IF(Table1[[#This Row],[Age]]&lt;=35, "Young adult (20-35)",
IF(Table1[[#This Row],[Age]]&lt;=59, "Adult (36-59)", "Elderly (60-90)")))))</f>
        <v>Adult (36-59)</v>
      </c>
      <c r="E122" t="s">
        <v>11</v>
      </c>
      <c r="F122">
        <v>5</v>
      </c>
      <c r="G122" t="str">
        <f>IF(Table1[[#This Row],[Admission_Days]]&lt;=5, "Immediate (1-5)",
IF(Table1[[#This Row],[Admission_Days]]&lt;=10, "Short-term (6-10)",
IF(Table1[[#This Row],[Admission_Days]]&lt;=15, "Medium-term (11-15)", "Long-term (16-20)")))</f>
        <v>Immediate (1-5)</v>
      </c>
      <c r="H122" t="s">
        <v>17</v>
      </c>
      <c r="I122">
        <v>4</v>
      </c>
      <c r="J122">
        <v>3</v>
      </c>
      <c r="K122" s="1">
        <v>600000</v>
      </c>
      <c r="L122" t="str">
        <f>IF(Table1[[#This Row],[Surgery_Cost_NGN]]&gt;0, "Yes", "No")</f>
        <v>Yes</v>
      </c>
      <c r="M122" s="1">
        <v>731255</v>
      </c>
      <c r="N122" t="str">
        <f>IF(Table1[[#This Row],[Surgery_Cost_NGN]]&gt;Table1[[#This Row],[Bill_Amount_NGN]], "Anomaly detected", "Valid")</f>
        <v>Valid</v>
      </c>
      <c r="O122" s="1">
        <f t="shared" si="1"/>
        <v>82.050721020710967</v>
      </c>
    </row>
    <row r="123" spans="1:15" x14ac:dyDescent="0.35">
      <c r="A123" t="s">
        <v>185</v>
      </c>
      <c r="B123" t="s">
        <v>10</v>
      </c>
      <c r="C123">
        <v>53</v>
      </c>
      <c r="D123" t="str">
        <f>IF(Table1[[#This Row],[Age]]&lt;=4, "Toddler (0-4)",
IF(Table1[[#This Row],[Age]]&lt;=12, "Child (5-12)",
IF(Table1[[#This Row],[Age]]&lt;=19, "Adolescent (13-19)",
IF(Table1[[#This Row],[Age]]&lt;=35, "Young adult (20-35)",
IF(Table1[[#This Row],[Age]]&lt;=59, "Adult (36-59)", "Elderly (60-90)")))))</f>
        <v>Adult (36-59)</v>
      </c>
      <c r="E123" t="s">
        <v>19</v>
      </c>
      <c r="F123">
        <v>6</v>
      </c>
      <c r="G123" t="str">
        <f>IF(Table1[[#This Row],[Admission_Days]]&lt;=5, "Immediate (1-5)",
IF(Table1[[#This Row],[Admission_Days]]&lt;=10, "Short-term (6-10)",
IF(Table1[[#This Row],[Admission_Days]]&lt;=15, "Medium-term (11-15)", "Long-term (16-20)")))</f>
        <v>Short-term (6-10)</v>
      </c>
      <c r="H123" t="s">
        <v>18</v>
      </c>
      <c r="I123">
        <v>4</v>
      </c>
      <c r="J123">
        <v>6</v>
      </c>
      <c r="K123" s="1">
        <v>250000</v>
      </c>
      <c r="L123" t="str">
        <f>IF(Table1[[#This Row],[Surgery_Cost_NGN]]&gt;0, "Yes", "No")</f>
        <v>Yes</v>
      </c>
      <c r="M123" s="1">
        <v>415610</v>
      </c>
      <c r="N123" t="str">
        <f>IF(Table1[[#This Row],[Surgery_Cost_NGN]]&gt;Table1[[#This Row],[Bill_Amount_NGN]], "Anomaly detected", "Valid")</f>
        <v>Valid</v>
      </c>
      <c r="O123" s="1">
        <f t="shared" si="1"/>
        <v>60.152546858834</v>
      </c>
    </row>
    <row r="124" spans="1:15" x14ac:dyDescent="0.35">
      <c r="A124" t="s">
        <v>186</v>
      </c>
      <c r="B124" t="s">
        <v>13</v>
      </c>
      <c r="C124">
        <v>60</v>
      </c>
      <c r="D124" t="str">
        <f>IF(Table1[[#This Row],[Age]]&lt;=4, "Toddler (0-4)",
IF(Table1[[#This Row],[Age]]&lt;=12, "Child (5-12)",
IF(Table1[[#This Row],[Age]]&lt;=19, "Adolescent (13-19)",
IF(Table1[[#This Row],[Age]]&lt;=35, "Young adult (20-35)",
IF(Table1[[#This Row],[Age]]&lt;=59, "Adult (36-59)", "Elderly (60-90)")))))</f>
        <v>Elderly (60-90)</v>
      </c>
      <c r="E124" t="s">
        <v>11</v>
      </c>
      <c r="F124">
        <v>4</v>
      </c>
      <c r="G124" t="str">
        <f>IF(Table1[[#This Row],[Admission_Days]]&lt;=5, "Immediate (1-5)",
IF(Table1[[#This Row],[Admission_Days]]&lt;=10, "Short-term (6-10)",
IF(Table1[[#This Row],[Admission_Days]]&lt;=15, "Medium-term (11-15)", "Long-term (16-20)")))</f>
        <v>Immediate (1-5)</v>
      </c>
      <c r="H124" t="s">
        <v>12</v>
      </c>
      <c r="I124">
        <v>0</v>
      </c>
      <c r="J124">
        <v>3</v>
      </c>
      <c r="K124" s="1">
        <v>0</v>
      </c>
      <c r="L124" t="str">
        <f>IF(Table1[[#This Row],[Surgery_Cost_NGN]]&gt;0, "Yes", "No")</f>
        <v>No</v>
      </c>
      <c r="M124" s="1">
        <v>39636</v>
      </c>
      <c r="N124" t="str">
        <f>IF(Table1[[#This Row],[Surgery_Cost_NGN]]&gt;Table1[[#This Row],[Bill_Amount_NGN]], "Anomaly detected", "Valid")</f>
        <v>Valid</v>
      </c>
      <c r="O124" s="1">
        <f t="shared" si="1"/>
        <v>0</v>
      </c>
    </row>
    <row r="125" spans="1:15" x14ac:dyDescent="0.35">
      <c r="A125" t="s">
        <v>187</v>
      </c>
      <c r="B125" t="s">
        <v>10</v>
      </c>
      <c r="C125">
        <v>63</v>
      </c>
      <c r="D125" t="str">
        <f>IF(Table1[[#This Row],[Age]]&lt;=4, "Toddler (0-4)",
IF(Table1[[#This Row],[Age]]&lt;=12, "Child (5-12)",
IF(Table1[[#This Row],[Age]]&lt;=19, "Adolescent (13-19)",
IF(Table1[[#This Row],[Age]]&lt;=35, "Young adult (20-35)",
IF(Table1[[#This Row],[Age]]&lt;=59, "Adult (36-59)", "Elderly (60-90)")))))</f>
        <v>Elderly (60-90)</v>
      </c>
      <c r="E125" t="s">
        <v>16</v>
      </c>
      <c r="F125">
        <v>19</v>
      </c>
      <c r="G125" t="str">
        <f>IF(Table1[[#This Row],[Admission_Days]]&lt;=5, "Immediate (1-5)",
IF(Table1[[#This Row],[Admission_Days]]&lt;=10, "Short-term (6-10)",
IF(Table1[[#This Row],[Admission_Days]]&lt;=15, "Medium-term (11-15)", "Long-term (16-20)")))</f>
        <v>Long-term (16-20)</v>
      </c>
      <c r="H125" t="s">
        <v>17</v>
      </c>
      <c r="I125">
        <v>1</v>
      </c>
      <c r="J125">
        <v>2</v>
      </c>
      <c r="K125" s="1">
        <v>0</v>
      </c>
      <c r="L125" t="str">
        <f>IF(Table1[[#This Row],[Surgery_Cost_NGN]]&gt;0, "Yes", "No")</f>
        <v>No</v>
      </c>
      <c r="M125" s="1">
        <v>245513</v>
      </c>
      <c r="N125" t="str">
        <f>IF(Table1[[#This Row],[Surgery_Cost_NGN]]&gt;Table1[[#This Row],[Bill_Amount_NGN]], "Anomaly detected", "Valid")</f>
        <v>Valid</v>
      </c>
      <c r="O125" s="1">
        <f t="shared" si="1"/>
        <v>0</v>
      </c>
    </row>
    <row r="126" spans="1:15" x14ac:dyDescent="0.35">
      <c r="A126" t="s">
        <v>188</v>
      </c>
      <c r="B126" t="s">
        <v>10</v>
      </c>
      <c r="C126">
        <v>32</v>
      </c>
      <c r="D126" t="str">
        <f>IF(Table1[[#This Row],[Age]]&lt;=4, "Toddler (0-4)",
IF(Table1[[#This Row],[Age]]&lt;=12, "Child (5-12)",
IF(Table1[[#This Row],[Age]]&lt;=19, "Adolescent (13-19)",
IF(Table1[[#This Row],[Age]]&lt;=35, "Young adult (20-35)",
IF(Table1[[#This Row],[Age]]&lt;=59, "Adult (36-59)", "Elderly (60-90)")))))</f>
        <v>Young adult (20-35)</v>
      </c>
      <c r="E126" t="s">
        <v>20</v>
      </c>
      <c r="F126">
        <v>20</v>
      </c>
      <c r="G126" t="str">
        <f>IF(Table1[[#This Row],[Admission_Days]]&lt;=5, "Immediate (1-5)",
IF(Table1[[#This Row],[Admission_Days]]&lt;=10, "Short-term (6-10)",
IF(Table1[[#This Row],[Admission_Days]]&lt;=15, "Medium-term (11-15)", "Long-term (16-20)")))</f>
        <v>Long-term (16-20)</v>
      </c>
      <c r="H126" t="s">
        <v>17</v>
      </c>
      <c r="I126">
        <v>4</v>
      </c>
      <c r="J126">
        <v>8</v>
      </c>
      <c r="K126" s="1">
        <v>0</v>
      </c>
      <c r="L126" t="str">
        <f>IF(Table1[[#This Row],[Surgery_Cost_NGN]]&gt;0, "Yes", "No")</f>
        <v>No</v>
      </c>
      <c r="M126" s="1">
        <v>220092</v>
      </c>
      <c r="N126" t="str">
        <f>IF(Table1[[#This Row],[Surgery_Cost_NGN]]&gt;Table1[[#This Row],[Bill_Amount_NGN]], "Anomaly detected", "Valid")</f>
        <v>Valid</v>
      </c>
      <c r="O126" s="1">
        <f t="shared" si="1"/>
        <v>0</v>
      </c>
    </row>
    <row r="127" spans="1:15" x14ac:dyDescent="0.35">
      <c r="A127" t="s">
        <v>189</v>
      </c>
      <c r="B127" t="s">
        <v>13</v>
      </c>
      <c r="C127">
        <v>33</v>
      </c>
      <c r="D127" t="str">
        <f>IF(Table1[[#This Row],[Age]]&lt;=4, "Toddler (0-4)",
IF(Table1[[#This Row],[Age]]&lt;=12, "Child (5-12)",
IF(Table1[[#This Row],[Age]]&lt;=19, "Adolescent (13-19)",
IF(Table1[[#This Row],[Age]]&lt;=35, "Young adult (20-35)",
IF(Table1[[#This Row],[Age]]&lt;=59, "Adult (36-59)", "Elderly (60-90)")))))</f>
        <v>Young adult (20-35)</v>
      </c>
      <c r="E127" t="s">
        <v>11</v>
      </c>
      <c r="F127">
        <v>1</v>
      </c>
      <c r="G127" t="str">
        <f>IF(Table1[[#This Row],[Admission_Days]]&lt;=5, "Immediate (1-5)",
IF(Table1[[#This Row],[Admission_Days]]&lt;=10, "Short-term (6-10)",
IF(Table1[[#This Row],[Admission_Days]]&lt;=15, "Medium-term (11-15)", "Long-term (16-20)")))</f>
        <v>Immediate (1-5)</v>
      </c>
      <c r="H127" t="s">
        <v>18</v>
      </c>
      <c r="I127">
        <v>5</v>
      </c>
      <c r="J127">
        <v>5</v>
      </c>
      <c r="K127" s="1">
        <v>400000</v>
      </c>
      <c r="L127" t="str">
        <f>IF(Table1[[#This Row],[Surgery_Cost_NGN]]&gt;0, "Yes", "No")</f>
        <v>Yes</v>
      </c>
      <c r="M127" s="1">
        <v>490728</v>
      </c>
      <c r="N127" t="str">
        <f>IF(Table1[[#This Row],[Surgery_Cost_NGN]]&gt;Table1[[#This Row],[Bill_Amount_NGN]], "Anomaly detected", "Valid")</f>
        <v>Valid</v>
      </c>
      <c r="O127" s="1">
        <f t="shared" si="1"/>
        <v>81.511550186661452</v>
      </c>
    </row>
    <row r="128" spans="1:15" x14ac:dyDescent="0.35">
      <c r="A128" t="s">
        <v>190</v>
      </c>
      <c r="B128" t="s">
        <v>13</v>
      </c>
      <c r="C128">
        <v>67</v>
      </c>
      <c r="D128" t="str">
        <f>IF(Table1[[#This Row],[Age]]&lt;=4, "Toddler (0-4)",
IF(Table1[[#This Row],[Age]]&lt;=12, "Child (5-12)",
IF(Table1[[#This Row],[Age]]&lt;=19, "Adolescent (13-19)",
IF(Table1[[#This Row],[Age]]&lt;=35, "Young adult (20-35)",
IF(Table1[[#This Row],[Age]]&lt;=59, "Adult (36-59)", "Elderly (60-90)")))))</f>
        <v>Elderly (60-90)</v>
      </c>
      <c r="E128" t="s">
        <v>20</v>
      </c>
      <c r="F128">
        <v>20</v>
      </c>
      <c r="G128" t="str">
        <f>IF(Table1[[#This Row],[Admission_Days]]&lt;=5, "Immediate (1-5)",
IF(Table1[[#This Row],[Admission_Days]]&lt;=10, "Short-term (6-10)",
IF(Table1[[#This Row],[Admission_Days]]&lt;=15, "Medium-term (11-15)", "Long-term (16-20)")))</f>
        <v>Long-term (16-20)</v>
      </c>
      <c r="H128" t="s">
        <v>21</v>
      </c>
      <c r="I128">
        <v>4</v>
      </c>
      <c r="J128">
        <v>1</v>
      </c>
      <c r="K128" s="1">
        <v>250000</v>
      </c>
      <c r="L128" t="str">
        <f>IF(Table1[[#This Row],[Surgery_Cost_NGN]]&gt;0, "Yes", "No")</f>
        <v>Yes</v>
      </c>
      <c r="M128" s="1">
        <v>418032</v>
      </c>
      <c r="N128" t="str">
        <f>IF(Table1[[#This Row],[Surgery_Cost_NGN]]&gt;Table1[[#This Row],[Bill_Amount_NGN]], "Anomaly detected", "Valid")</f>
        <v>Valid</v>
      </c>
      <c r="O128" s="1">
        <f t="shared" si="1"/>
        <v>59.804034140927008</v>
      </c>
    </row>
    <row r="129" spans="1:15" x14ac:dyDescent="0.35">
      <c r="A129" t="s">
        <v>191</v>
      </c>
      <c r="B129" t="s">
        <v>10</v>
      </c>
      <c r="C129">
        <v>18</v>
      </c>
      <c r="D129" t="str">
        <f>IF(Table1[[#This Row],[Age]]&lt;=4, "Toddler (0-4)",
IF(Table1[[#This Row],[Age]]&lt;=12, "Child (5-12)",
IF(Table1[[#This Row],[Age]]&lt;=19, "Adolescent (13-19)",
IF(Table1[[#This Row],[Age]]&lt;=35, "Young adult (20-35)",
IF(Table1[[#This Row],[Age]]&lt;=59, "Adult (36-59)", "Elderly (60-90)")))))</f>
        <v>Adolescent (13-19)</v>
      </c>
      <c r="E129" t="s">
        <v>16</v>
      </c>
      <c r="F129">
        <v>17</v>
      </c>
      <c r="G129" t="str">
        <f>IF(Table1[[#This Row],[Admission_Days]]&lt;=5, "Immediate (1-5)",
IF(Table1[[#This Row],[Admission_Days]]&lt;=10, "Short-term (6-10)",
IF(Table1[[#This Row],[Admission_Days]]&lt;=15, "Medium-term (11-15)", "Long-term (16-20)")))</f>
        <v>Long-term (16-20)</v>
      </c>
      <c r="H129" t="s">
        <v>17</v>
      </c>
      <c r="I129">
        <v>2</v>
      </c>
      <c r="J129">
        <v>3</v>
      </c>
      <c r="K129" s="1">
        <v>600000</v>
      </c>
      <c r="L129" t="str">
        <f>IF(Table1[[#This Row],[Surgery_Cost_NGN]]&gt;0, "Yes", "No")</f>
        <v>Yes</v>
      </c>
      <c r="M129" s="1">
        <v>881389</v>
      </c>
      <c r="N129" t="str">
        <f>IF(Table1[[#This Row],[Surgery_Cost_NGN]]&gt;Table1[[#This Row],[Bill_Amount_NGN]], "Anomaly detected", "Valid")</f>
        <v>Valid</v>
      </c>
      <c r="O129" s="1">
        <f t="shared" si="1"/>
        <v>68.074368978963889</v>
      </c>
    </row>
    <row r="130" spans="1:15" x14ac:dyDescent="0.35">
      <c r="A130" t="s">
        <v>192</v>
      </c>
      <c r="B130" t="s">
        <v>13</v>
      </c>
      <c r="C130">
        <v>25</v>
      </c>
      <c r="D130" t="str">
        <f>IF(Table1[[#This Row],[Age]]&lt;=4, "Toddler (0-4)",
IF(Table1[[#This Row],[Age]]&lt;=12, "Child (5-12)",
IF(Table1[[#This Row],[Age]]&lt;=19, "Adolescent (13-19)",
IF(Table1[[#This Row],[Age]]&lt;=35, "Young adult (20-35)",
IF(Table1[[#This Row],[Age]]&lt;=59, "Adult (36-59)", "Elderly (60-90)")))))</f>
        <v>Young adult (20-35)</v>
      </c>
      <c r="E130" t="s">
        <v>16</v>
      </c>
      <c r="F130">
        <v>12</v>
      </c>
      <c r="G130" t="str">
        <f>IF(Table1[[#This Row],[Admission_Days]]&lt;=5, "Immediate (1-5)",
IF(Table1[[#This Row],[Admission_Days]]&lt;=10, "Short-term (6-10)",
IF(Table1[[#This Row],[Admission_Days]]&lt;=15, "Medium-term (11-15)", "Long-term (16-20)")))</f>
        <v>Medium-term (11-15)</v>
      </c>
      <c r="H130" t="s">
        <v>17</v>
      </c>
      <c r="I130">
        <v>1</v>
      </c>
      <c r="J130">
        <v>8</v>
      </c>
      <c r="K130" s="1">
        <v>0</v>
      </c>
      <c r="L130" t="str">
        <f>IF(Table1[[#This Row],[Surgery_Cost_NGN]]&gt;0, "Yes", "No")</f>
        <v>No</v>
      </c>
      <c r="M130" s="1">
        <v>236562</v>
      </c>
      <c r="N130" t="str">
        <f>IF(Table1[[#This Row],[Surgery_Cost_NGN]]&gt;Table1[[#This Row],[Bill_Amount_NGN]], "Anomaly detected", "Valid")</f>
        <v>Valid</v>
      </c>
      <c r="O130" s="1">
        <f t="shared" ref="O130:O193" si="2">IF(M130=0, 0, K130/M130*100)</f>
        <v>0</v>
      </c>
    </row>
    <row r="131" spans="1:15" x14ac:dyDescent="0.35">
      <c r="A131" t="s">
        <v>193</v>
      </c>
      <c r="B131" t="s">
        <v>13</v>
      </c>
      <c r="C131">
        <v>54</v>
      </c>
      <c r="D131" t="str">
        <f>IF(Table1[[#This Row],[Age]]&lt;=4, "Toddler (0-4)",
IF(Table1[[#This Row],[Age]]&lt;=12, "Child (5-12)",
IF(Table1[[#This Row],[Age]]&lt;=19, "Adolescent (13-19)",
IF(Table1[[#This Row],[Age]]&lt;=35, "Young adult (20-35)",
IF(Table1[[#This Row],[Age]]&lt;=59, "Adult (36-59)", "Elderly (60-90)")))))</f>
        <v>Adult (36-59)</v>
      </c>
      <c r="E131" t="s">
        <v>20</v>
      </c>
      <c r="F131">
        <v>15</v>
      </c>
      <c r="G131" t="str">
        <f>IF(Table1[[#This Row],[Admission_Days]]&lt;=5, "Immediate (1-5)",
IF(Table1[[#This Row],[Admission_Days]]&lt;=10, "Short-term (6-10)",
IF(Table1[[#This Row],[Admission_Days]]&lt;=15, "Medium-term (11-15)", "Long-term (16-20)")))</f>
        <v>Medium-term (11-15)</v>
      </c>
      <c r="H131" t="s">
        <v>12</v>
      </c>
      <c r="I131">
        <v>2</v>
      </c>
      <c r="J131">
        <v>4</v>
      </c>
      <c r="K131" s="1">
        <v>0</v>
      </c>
      <c r="L131" t="str">
        <f>IF(Table1[[#This Row],[Surgery_Cost_NGN]]&gt;0, "Yes", "No")</f>
        <v>No</v>
      </c>
      <c r="M131" s="1">
        <v>190324</v>
      </c>
      <c r="N131" t="str">
        <f>IF(Table1[[#This Row],[Surgery_Cost_NGN]]&gt;Table1[[#This Row],[Bill_Amount_NGN]], "Anomaly detected", "Valid")</f>
        <v>Valid</v>
      </c>
      <c r="O131" s="1">
        <f t="shared" si="2"/>
        <v>0</v>
      </c>
    </row>
    <row r="132" spans="1:15" x14ac:dyDescent="0.35">
      <c r="A132" t="s">
        <v>194</v>
      </c>
      <c r="B132" t="s">
        <v>13</v>
      </c>
      <c r="C132">
        <v>58</v>
      </c>
      <c r="D132" t="str">
        <f>IF(Table1[[#This Row],[Age]]&lt;=4, "Toddler (0-4)",
IF(Table1[[#This Row],[Age]]&lt;=12, "Child (5-12)",
IF(Table1[[#This Row],[Age]]&lt;=19, "Adolescent (13-19)",
IF(Table1[[#This Row],[Age]]&lt;=35, "Young adult (20-35)",
IF(Table1[[#This Row],[Age]]&lt;=59, "Adult (36-59)", "Elderly (60-90)")))))</f>
        <v>Adult (36-59)</v>
      </c>
      <c r="E132" t="s">
        <v>14</v>
      </c>
      <c r="F132">
        <v>1</v>
      </c>
      <c r="G132" t="str">
        <f>IF(Table1[[#This Row],[Admission_Days]]&lt;=5, "Immediate (1-5)",
IF(Table1[[#This Row],[Admission_Days]]&lt;=10, "Short-term (6-10)",
IF(Table1[[#This Row],[Admission_Days]]&lt;=15, "Medium-term (11-15)", "Long-term (16-20)")))</f>
        <v>Immediate (1-5)</v>
      </c>
      <c r="H132" t="s">
        <v>15</v>
      </c>
      <c r="I132">
        <v>1</v>
      </c>
      <c r="J132">
        <v>7</v>
      </c>
      <c r="K132" s="1">
        <v>0</v>
      </c>
      <c r="L132" t="str">
        <f>IF(Table1[[#This Row],[Surgery_Cost_NGN]]&gt;0, "Yes", "No")</f>
        <v>No</v>
      </c>
      <c r="M132" s="1">
        <v>91558</v>
      </c>
      <c r="N132" t="str">
        <f>IF(Table1[[#This Row],[Surgery_Cost_NGN]]&gt;Table1[[#This Row],[Bill_Amount_NGN]], "Anomaly detected", "Valid")</f>
        <v>Valid</v>
      </c>
      <c r="O132" s="1">
        <f t="shared" si="2"/>
        <v>0</v>
      </c>
    </row>
    <row r="133" spans="1:15" x14ac:dyDescent="0.35">
      <c r="A133" t="s">
        <v>195</v>
      </c>
      <c r="B133" t="s">
        <v>10</v>
      </c>
      <c r="C133">
        <v>67</v>
      </c>
      <c r="D133" t="str">
        <f>IF(Table1[[#This Row],[Age]]&lt;=4, "Toddler (0-4)",
IF(Table1[[#This Row],[Age]]&lt;=12, "Child (5-12)",
IF(Table1[[#This Row],[Age]]&lt;=19, "Adolescent (13-19)",
IF(Table1[[#This Row],[Age]]&lt;=35, "Young adult (20-35)",
IF(Table1[[#This Row],[Age]]&lt;=59, "Adult (36-59)", "Elderly (60-90)")))))</f>
        <v>Elderly (60-90)</v>
      </c>
      <c r="E133" t="s">
        <v>22</v>
      </c>
      <c r="F133">
        <v>14</v>
      </c>
      <c r="G133" t="str">
        <f>IF(Table1[[#This Row],[Admission_Days]]&lt;=5, "Immediate (1-5)",
IF(Table1[[#This Row],[Admission_Days]]&lt;=10, "Short-term (6-10)",
IF(Table1[[#This Row],[Admission_Days]]&lt;=15, "Medium-term (11-15)", "Long-term (16-20)")))</f>
        <v>Medium-term (11-15)</v>
      </c>
      <c r="H133" t="s">
        <v>18</v>
      </c>
      <c r="I133">
        <v>2</v>
      </c>
      <c r="J133">
        <v>2</v>
      </c>
      <c r="K133" s="1">
        <v>600000</v>
      </c>
      <c r="L133" t="str">
        <f>IF(Table1[[#This Row],[Surgery_Cost_NGN]]&gt;0, "Yes", "No")</f>
        <v>Yes</v>
      </c>
      <c r="M133" s="1">
        <v>826492</v>
      </c>
      <c r="N133" t="str">
        <f>IF(Table1[[#This Row],[Surgery_Cost_NGN]]&gt;Table1[[#This Row],[Bill_Amount_NGN]], "Anomaly detected", "Valid")</f>
        <v>Valid</v>
      </c>
      <c r="O133" s="1">
        <f t="shared" si="2"/>
        <v>72.595983990165664</v>
      </c>
    </row>
    <row r="134" spans="1:15" x14ac:dyDescent="0.35">
      <c r="A134" t="s">
        <v>196</v>
      </c>
      <c r="B134" t="s">
        <v>10</v>
      </c>
      <c r="C134">
        <v>46</v>
      </c>
      <c r="D134" t="str">
        <f>IF(Table1[[#This Row],[Age]]&lt;=4, "Toddler (0-4)",
IF(Table1[[#This Row],[Age]]&lt;=12, "Child (5-12)",
IF(Table1[[#This Row],[Age]]&lt;=19, "Adolescent (13-19)",
IF(Table1[[#This Row],[Age]]&lt;=35, "Young adult (20-35)",
IF(Table1[[#This Row],[Age]]&lt;=59, "Adult (36-59)", "Elderly (60-90)")))))</f>
        <v>Adult (36-59)</v>
      </c>
      <c r="E134" t="s">
        <v>14</v>
      </c>
      <c r="F134">
        <v>6</v>
      </c>
      <c r="G134" t="str">
        <f>IF(Table1[[#This Row],[Admission_Days]]&lt;=5, "Immediate (1-5)",
IF(Table1[[#This Row],[Admission_Days]]&lt;=10, "Short-term (6-10)",
IF(Table1[[#This Row],[Admission_Days]]&lt;=15, "Medium-term (11-15)", "Long-term (16-20)")))</f>
        <v>Short-term (6-10)</v>
      </c>
      <c r="H134" t="s">
        <v>18</v>
      </c>
      <c r="I134">
        <v>4</v>
      </c>
      <c r="J134">
        <v>7</v>
      </c>
      <c r="K134" s="1">
        <v>150000</v>
      </c>
      <c r="L134" t="str">
        <f>IF(Table1[[#This Row],[Surgery_Cost_NGN]]&gt;0, "Yes", "No")</f>
        <v>Yes</v>
      </c>
      <c r="M134" s="1">
        <v>317662</v>
      </c>
      <c r="N134" t="str">
        <f>IF(Table1[[#This Row],[Surgery_Cost_NGN]]&gt;Table1[[#This Row],[Bill_Amount_NGN]], "Anomaly detected", "Valid")</f>
        <v>Valid</v>
      </c>
      <c r="O134" s="1">
        <f t="shared" si="2"/>
        <v>47.220001133280029</v>
      </c>
    </row>
    <row r="135" spans="1:15" x14ac:dyDescent="0.35">
      <c r="A135" t="s">
        <v>197</v>
      </c>
      <c r="B135" t="s">
        <v>10</v>
      </c>
      <c r="C135">
        <v>24</v>
      </c>
      <c r="D135" t="str">
        <f>IF(Table1[[#This Row],[Age]]&lt;=4, "Toddler (0-4)",
IF(Table1[[#This Row],[Age]]&lt;=12, "Child (5-12)",
IF(Table1[[#This Row],[Age]]&lt;=19, "Adolescent (13-19)",
IF(Table1[[#This Row],[Age]]&lt;=35, "Young adult (20-35)",
IF(Table1[[#This Row],[Age]]&lt;=59, "Adult (36-59)", "Elderly (60-90)")))))</f>
        <v>Young adult (20-35)</v>
      </c>
      <c r="E135" t="s">
        <v>14</v>
      </c>
      <c r="F135">
        <v>5</v>
      </c>
      <c r="G135" t="str">
        <f>IF(Table1[[#This Row],[Admission_Days]]&lt;=5, "Immediate (1-5)",
IF(Table1[[#This Row],[Admission_Days]]&lt;=10, "Short-term (6-10)",
IF(Table1[[#This Row],[Admission_Days]]&lt;=15, "Medium-term (11-15)", "Long-term (16-20)")))</f>
        <v>Immediate (1-5)</v>
      </c>
      <c r="H135" t="s">
        <v>21</v>
      </c>
      <c r="I135">
        <v>4</v>
      </c>
      <c r="J135">
        <v>5</v>
      </c>
      <c r="K135" s="1">
        <v>400000</v>
      </c>
      <c r="L135" t="str">
        <f>IF(Table1[[#This Row],[Surgery_Cost_NGN]]&gt;0, "Yes", "No")</f>
        <v>Yes</v>
      </c>
      <c r="M135" s="1">
        <v>546208</v>
      </c>
      <c r="N135" t="str">
        <f>IF(Table1[[#This Row],[Surgery_Cost_NGN]]&gt;Table1[[#This Row],[Bill_Amount_NGN]], "Anomaly detected", "Valid")</f>
        <v>Valid</v>
      </c>
      <c r="O135" s="1">
        <f t="shared" si="2"/>
        <v>73.232175288534776</v>
      </c>
    </row>
    <row r="136" spans="1:15" x14ac:dyDescent="0.35">
      <c r="A136" t="s">
        <v>198</v>
      </c>
      <c r="B136" t="s">
        <v>10</v>
      </c>
      <c r="C136">
        <v>32</v>
      </c>
      <c r="D136" t="str">
        <f>IF(Table1[[#This Row],[Age]]&lt;=4, "Toddler (0-4)",
IF(Table1[[#This Row],[Age]]&lt;=12, "Child (5-12)",
IF(Table1[[#This Row],[Age]]&lt;=19, "Adolescent (13-19)",
IF(Table1[[#This Row],[Age]]&lt;=35, "Young adult (20-35)",
IF(Table1[[#This Row],[Age]]&lt;=59, "Adult (36-59)", "Elderly (60-90)")))))</f>
        <v>Young adult (20-35)</v>
      </c>
      <c r="E136" t="s">
        <v>19</v>
      </c>
      <c r="F136">
        <v>11</v>
      </c>
      <c r="G136" t="str">
        <f>IF(Table1[[#This Row],[Admission_Days]]&lt;=5, "Immediate (1-5)",
IF(Table1[[#This Row],[Admission_Days]]&lt;=10, "Short-term (6-10)",
IF(Table1[[#This Row],[Admission_Days]]&lt;=15, "Medium-term (11-15)", "Long-term (16-20)")))</f>
        <v>Medium-term (11-15)</v>
      </c>
      <c r="H136" t="s">
        <v>21</v>
      </c>
      <c r="I136">
        <v>0</v>
      </c>
      <c r="J136">
        <v>5</v>
      </c>
      <c r="K136" s="1">
        <v>0</v>
      </c>
      <c r="L136" t="str">
        <f>IF(Table1[[#This Row],[Surgery_Cost_NGN]]&gt;0, "Yes", "No")</f>
        <v>No</v>
      </c>
      <c r="M136" s="1">
        <v>186693</v>
      </c>
      <c r="N136" t="str">
        <f>IF(Table1[[#This Row],[Surgery_Cost_NGN]]&gt;Table1[[#This Row],[Bill_Amount_NGN]], "Anomaly detected", "Valid")</f>
        <v>Valid</v>
      </c>
      <c r="O136" s="1">
        <f t="shared" si="2"/>
        <v>0</v>
      </c>
    </row>
    <row r="137" spans="1:15" x14ac:dyDescent="0.35">
      <c r="A137" t="s">
        <v>199</v>
      </c>
      <c r="B137" t="s">
        <v>10</v>
      </c>
      <c r="C137">
        <v>47</v>
      </c>
      <c r="D137" t="str">
        <f>IF(Table1[[#This Row],[Age]]&lt;=4, "Toddler (0-4)",
IF(Table1[[#This Row],[Age]]&lt;=12, "Child (5-12)",
IF(Table1[[#This Row],[Age]]&lt;=19, "Adolescent (13-19)",
IF(Table1[[#This Row],[Age]]&lt;=35, "Young adult (20-35)",
IF(Table1[[#This Row],[Age]]&lt;=59, "Adult (36-59)", "Elderly (60-90)")))))</f>
        <v>Adult (36-59)</v>
      </c>
      <c r="E137" t="s">
        <v>14</v>
      </c>
      <c r="F137">
        <v>4</v>
      </c>
      <c r="G137" t="str">
        <f>IF(Table1[[#This Row],[Admission_Days]]&lt;=5, "Immediate (1-5)",
IF(Table1[[#This Row],[Admission_Days]]&lt;=10, "Short-term (6-10)",
IF(Table1[[#This Row],[Admission_Days]]&lt;=15, "Medium-term (11-15)", "Long-term (16-20)")))</f>
        <v>Immediate (1-5)</v>
      </c>
      <c r="H137" t="s">
        <v>18</v>
      </c>
      <c r="I137">
        <v>5</v>
      </c>
      <c r="J137">
        <v>6</v>
      </c>
      <c r="K137" s="1">
        <v>150000</v>
      </c>
      <c r="L137" t="str">
        <f>IF(Table1[[#This Row],[Surgery_Cost_NGN]]&gt;0, "Yes", "No")</f>
        <v>Yes</v>
      </c>
      <c r="M137" s="1">
        <v>312661</v>
      </c>
      <c r="N137" t="str">
        <f>IF(Table1[[#This Row],[Surgery_Cost_NGN]]&gt;Table1[[#This Row],[Bill_Amount_NGN]], "Anomaly detected", "Valid")</f>
        <v>Valid</v>
      </c>
      <c r="O137" s="1">
        <f t="shared" si="2"/>
        <v>47.975283134129299</v>
      </c>
    </row>
    <row r="138" spans="1:15" x14ac:dyDescent="0.35">
      <c r="A138" t="s">
        <v>200</v>
      </c>
      <c r="B138" t="s">
        <v>10</v>
      </c>
      <c r="C138">
        <v>23</v>
      </c>
      <c r="D138" t="str">
        <f>IF(Table1[[#This Row],[Age]]&lt;=4, "Toddler (0-4)",
IF(Table1[[#This Row],[Age]]&lt;=12, "Child (5-12)",
IF(Table1[[#This Row],[Age]]&lt;=19, "Adolescent (13-19)",
IF(Table1[[#This Row],[Age]]&lt;=35, "Young adult (20-35)",
IF(Table1[[#This Row],[Age]]&lt;=59, "Adult (36-59)", "Elderly (60-90)")))))</f>
        <v>Young adult (20-35)</v>
      </c>
      <c r="E138" t="s">
        <v>11</v>
      </c>
      <c r="F138">
        <v>13</v>
      </c>
      <c r="G138" t="str">
        <f>IF(Table1[[#This Row],[Admission_Days]]&lt;=5, "Immediate (1-5)",
IF(Table1[[#This Row],[Admission_Days]]&lt;=10, "Short-term (6-10)",
IF(Table1[[#This Row],[Admission_Days]]&lt;=15, "Medium-term (11-15)", "Long-term (16-20)")))</f>
        <v>Medium-term (11-15)</v>
      </c>
      <c r="H138" t="s">
        <v>21</v>
      </c>
      <c r="I138">
        <v>2</v>
      </c>
      <c r="J138">
        <v>9</v>
      </c>
      <c r="K138" s="1">
        <v>0</v>
      </c>
      <c r="L138" t="str">
        <f>IF(Table1[[#This Row],[Surgery_Cost_NGN]]&gt;0, "Yes", "No")</f>
        <v>No</v>
      </c>
      <c r="M138" s="1">
        <v>184120</v>
      </c>
      <c r="N138" t="str">
        <f>IF(Table1[[#This Row],[Surgery_Cost_NGN]]&gt;Table1[[#This Row],[Bill_Amount_NGN]], "Anomaly detected", "Valid")</f>
        <v>Valid</v>
      </c>
      <c r="O138" s="1">
        <f t="shared" si="2"/>
        <v>0</v>
      </c>
    </row>
    <row r="139" spans="1:15" x14ac:dyDescent="0.35">
      <c r="A139" t="s">
        <v>201</v>
      </c>
      <c r="B139" t="s">
        <v>10</v>
      </c>
      <c r="C139">
        <v>66</v>
      </c>
      <c r="D139" t="str">
        <f>IF(Table1[[#This Row],[Age]]&lt;=4, "Toddler (0-4)",
IF(Table1[[#This Row],[Age]]&lt;=12, "Child (5-12)",
IF(Table1[[#This Row],[Age]]&lt;=19, "Adolescent (13-19)",
IF(Table1[[#This Row],[Age]]&lt;=35, "Young adult (20-35)",
IF(Table1[[#This Row],[Age]]&lt;=59, "Adult (36-59)", "Elderly (60-90)")))))</f>
        <v>Elderly (60-90)</v>
      </c>
      <c r="E139" t="s">
        <v>19</v>
      </c>
      <c r="F139">
        <v>11</v>
      </c>
      <c r="G139" t="str">
        <f>IF(Table1[[#This Row],[Admission_Days]]&lt;=5, "Immediate (1-5)",
IF(Table1[[#This Row],[Admission_Days]]&lt;=10, "Short-term (6-10)",
IF(Table1[[#This Row],[Admission_Days]]&lt;=15, "Medium-term (11-15)", "Long-term (16-20)")))</f>
        <v>Medium-term (11-15)</v>
      </c>
      <c r="H139" t="s">
        <v>12</v>
      </c>
      <c r="I139">
        <v>3</v>
      </c>
      <c r="J139">
        <v>6</v>
      </c>
      <c r="K139" s="1">
        <v>400000</v>
      </c>
      <c r="L139" t="str">
        <f>IF(Table1[[#This Row],[Surgery_Cost_NGN]]&gt;0, "Yes", "No")</f>
        <v>Yes</v>
      </c>
      <c r="M139" s="1">
        <v>561104</v>
      </c>
      <c r="N139" t="str">
        <f>IF(Table1[[#This Row],[Surgery_Cost_NGN]]&gt;Table1[[#This Row],[Bill_Amount_NGN]], "Anomaly detected", "Valid")</f>
        <v>Valid</v>
      </c>
      <c r="O139" s="1">
        <f t="shared" si="2"/>
        <v>71.288032165160104</v>
      </c>
    </row>
    <row r="140" spans="1:15" x14ac:dyDescent="0.35">
      <c r="A140" t="s">
        <v>202</v>
      </c>
      <c r="B140" t="s">
        <v>10</v>
      </c>
      <c r="C140">
        <v>27</v>
      </c>
      <c r="D140" t="str">
        <f>IF(Table1[[#This Row],[Age]]&lt;=4, "Toddler (0-4)",
IF(Table1[[#This Row],[Age]]&lt;=12, "Child (5-12)",
IF(Table1[[#This Row],[Age]]&lt;=19, "Adolescent (13-19)",
IF(Table1[[#This Row],[Age]]&lt;=35, "Young adult (20-35)",
IF(Table1[[#This Row],[Age]]&lt;=59, "Adult (36-59)", "Elderly (60-90)")))))</f>
        <v>Young adult (20-35)</v>
      </c>
      <c r="E140" t="s">
        <v>19</v>
      </c>
      <c r="F140">
        <v>3</v>
      </c>
      <c r="G140" t="str">
        <f>IF(Table1[[#This Row],[Admission_Days]]&lt;=5, "Immediate (1-5)",
IF(Table1[[#This Row],[Admission_Days]]&lt;=10, "Short-term (6-10)",
IF(Table1[[#This Row],[Admission_Days]]&lt;=15, "Medium-term (11-15)", "Long-term (16-20)")))</f>
        <v>Immediate (1-5)</v>
      </c>
      <c r="H140" t="s">
        <v>18</v>
      </c>
      <c r="I140">
        <v>0</v>
      </c>
      <c r="J140">
        <v>8</v>
      </c>
      <c r="K140" s="1">
        <v>0</v>
      </c>
      <c r="L140" t="str">
        <f>IF(Table1[[#This Row],[Surgery_Cost_NGN]]&gt;0, "Yes", "No")</f>
        <v>No</v>
      </c>
      <c r="M140" s="1">
        <v>108980</v>
      </c>
      <c r="N140" t="str">
        <f>IF(Table1[[#This Row],[Surgery_Cost_NGN]]&gt;Table1[[#This Row],[Bill_Amount_NGN]], "Anomaly detected", "Valid")</f>
        <v>Valid</v>
      </c>
      <c r="O140" s="1">
        <f t="shared" si="2"/>
        <v>0</v>
      </c>
    </row>
    <row r="141" spans="1:15" x14ac:dyDescent="0.35">
      <c r="A141" t="s">
        <v>203</v>
      </c>
      <c r="B141" t="s">
        <v>10</v>
      </c>
      <c r="C141">
        <v>2</v>
      </c>
      <c r="D141" t="str">
        <f>IF(Table1[[#This Row],[Age]]&lt;=4, "Toddler (0-4)",
IF(Table1[[#This Row],[Age]]&lt;=12, "Child (5-12)",
IF(Table1[[#This Row],[Age]]&lt;=19, "Adolescent (13-19)",
IF(Table1[[#This Row],[Age]]&lt;=35, "Young adult (20-35)",
IF(Table1[[#This Row],[Age]]&lt;=59, "Adult (36-59)", "Elderly (60-90)")))))</f>
        <v>Toddler (0-4)</v>
      </c>
      <c r="E141" t="s">
        <v>16</v>
      </c>
      <c r="F141">
        <v>1</v>
      </c>
      <c r="G141" t="str">
        <f>IF(Table1[[#This Row],[Admission_Days]]&lt;=5, "Immediate (1-5)",
IF(Table1[[#This Row],[Admission_Days]]&lt;=10, "Short-term (6-10)",
IF(Table1[[#This Row],[Admission_Days]]&lt;=15, "Medium-term (11-15)", "Long-term (16-20)")))</f>
        <v>Immediate (1-5)</v>
      </c>
      <c r="H141" t="s">
        <v>21</v>
      </c>
      <c r="I141">
        <v>2</v>
      </c>
      <c r="J141">
        <v>7</v>
      </c>
      <c r="K141" s="1">
        <v>598000</v>
      </c>
      <c r="L141" t="str">
        <f>IF(Table1[[#This Row],[Surgery_Cost_NGN]]&gt;0, "Yes", "No")</f>
        <v>Yes</v>
      </c>
      <c r="M141" s="1">
        <v>360000</v>
      </c>
      <c r="N141" t="str">
        <f>IF(Table1[[#This Row],[Surgery_Cost_NGN]]&gt;Table1[[#This Row],[Bill_Amount_NGN]], "Anomaly detected", "Valid")</f>
        <v>Anomaly detected</v>
      </c>
      <c r="O141" s="1">
        <f t="shared" si="2"/>
        <v>166.11111111111111</v>
      </c>
    </row>
    <row r="142" spans="1:15" x14ac:dyDescent="0.35">
      <c r="A142" t="s">
        <v>204</v>
      </c>
      <c r="B142" t="s">
        <v>13</v>
      </c>
      <c r="C142">
        <v>17</v>
      </c>
      <c r="D142" t="str">
        <f>IF(Table1[[#This Row],[Age]]&lt;=4, "Toddler (0-4)",
IF(Table1[[#This Row],[Age]]&lt;=12, "Child (5-12)",
IF(Table1[[#This Row],[Age]]&lt;=19, "Adolescent (13-19)",
IF(Table1[[#This Row],[Age]]&lt;=35, "Young adult (20-35)",
IF(Table1[[#This Row],[Age]]&lt;=59, "Adult (36-59)", "Elderly (60-90)")))))</f>
        <v>Adolescent (13-19)</v>
      </c>
      <c r="E142" t="s">
        <v>14</v>
      </c>
      <c r="F142">
        <v>6</v>
      </c>
      <c r="G142" t="str">
        <f>IF(Table1[[#This Row],[Admission_Days]]&lt;=5, "Immediate (1-5)",
IF(Table1[[#This Row],[Admission_Days]]&lt;=10, "Short-term (6-10)",
IF(Table1[[#This Row],[Admission_Days]]&lt;=15, "Medium-term (11-15)", "Long-term (16-20)")))</f>
        <v>Short-term (6-10)</v>
      </c>
      <c r="H142" t="s">
        <v>18</v>
      </c>
      <c r="I142">
        <v>2</v>
      </c>
      <c r="J142">
        <v>9</v>
      </c>
      <c r="K142" s="1">
        <v>250000</v>
      </c>
      <c r="L142" t="str">
        <f>IF(Table1[[#This Row],[Surgery_Cost_NGN]]&gt;0, "Yes", "No")</f>
        <v>Yes</v>
      </c>
      <c r="M142" s="1">
        <v>393533</v>
      </c>
      <c r="N142" t="str">
        <f>IF(Table1[[#This Row],[Surgery_Cost_NGN]]&gt;Table1[[#This Row],[Bill_Amount_NGN]], "Anomaly detected", "Valid")</f>
        <v>Valid</v>
      </c>
      <c r="O142" s="1">
        <f t="shared" si="2"/>
        <v>63.527073968383839</v>
      </c>
    </row>
    <row r="143" spans="1:15" x14ac:dyDescent="0.35">
      <c r="A143" t="s">
        <v>205</v>
      </c>
      <c r="B143" t="s">
        <v>10</v>
      </c>
      <c r="C143">
        <v>33</v>
      </c>
      <c r="D143" t="str">
        <f>IF(Table1[[#This Row],[Age]]&lt;=4, "Toddler (0-4)",
IF(Table1[[#This Row],[Age]]&lt;=12, "Child (5-12)",
IF(Table1[[#This Row],[Age]]&lt;=19, "Adolescent (13-19)",
IF(Table1[[#This Row],[Age]]&lt;=35, "Young adult (20-35)",
IF(Table1[[#This Row],[Age]]&lt;=59, "Adult (36-59)", "Elderly (60-90)")))))</f>
        <v>Young adult (20-35)</v>
      </c>
      <c r="E143" t="s">
        <v>16</v>
      </c>
      <c r="F143">
        <v>18</v>
      </c>
      <c r="G143" t="str">
        <f>IF(Table1[[#This Row],[Admission_Days]]&lt;=5, "Immediate (1-5)",
IF(Table1[[#This Row],[Admission_Days]]&lt;=10, "Short-term (6-10)",
IF(Table1[[#This Row],[Admission_Days]]&lt;=15, "Medium-term (11-15)", "Long-term (16-20)")))</f>
        <v>Long-term (16-20)</v>
      </c>
      <c r="H143" t="s">
        <v>15</v>
      </c>
      <c r="I143">
        <v>0</v>
      </c>
      <c r="J143">
        <v>4</v>
      </c>
      <c r="K143" s="1">
        <v>400000</v>
      </c>
      <c r="L143" t="str">
        <f>IF(Table1[[#This Row],[Surgery_Cost_NGN]]&gt;0, "Yes", "No")</f>
        <v>Yes</v>
      </c>
      <c r="M143" s="1">
        <v>574378</v>
      </c>
      <c r="N143" t="str">
        <f>IF(Table1[[#This Row],[Surgery_Cost_NGN]]&gt;Table1[[#This Row],[Bill_Amount_NGN]], "Anomaly detected", "Valid")</f>
        <v>Valid</v>
      </c>
      <c r="O143" s="1">
        <f t="shared" si="2"/>
        <v>69.640550299628472</v>
      </c>
    </row>
    <row r="144" spans="1:15" x14ac:dyDescent="0.35">
      <c r="A144" t="s">
        <v>206</v>
      </c>
      <c r="B144" t="s">
        <v>13</v>
      </c>
      <c r="C144">
        <v>9</v>
      </c>
      <c r="D144" t="str">
        <f>IF(Table1[[#This Row],[Age]]&lt;=4, "Toddler (0-4)",
IF(Table1[[#This Row],[Age]]&lt;=12, "Child (5-12)",
IF(Table1[[#This Row],[Age]]&lt;=19, "Adolescent (13-19)",
IF(Table1[[#This Row],[Age]]&lt;=35, "Young adult (20-35)",
IF(Table1[[#This Row],[Age]]&lt;=59, "Adult (36-59)", "Elderly (60-90)")))))</f>
        <v>Child (5-12)</v>
      </c>
      <c r="E144" t="s">
        <v>20</v>
      </c>
      <c r="F144">
        <v>10</v>
      </c>
      <c r="G144" t="str">
        <f>IF(Table1[[#This Row],[Admission_Days]]&lt;=5, "Immediate (1-5)",
IF(Table1[[#This Row],[Admission_Days]]&lt;=10, "Short-term (6-10)",
IF(Table1[[#This Row],[Admission_Days]]&lt;=15, "Medium-term (11-15)", "Long-term (16-20)")))</f>
        <v>Short-term (6-10)</v>
      </c>
      <c r="H144" t="s">
        <v>17</v>
      </c>
      <c r="I144">
        <v>4</v>
      </c>
      <c r="J144">
        <v>2</v>
      </c>
      <c r="K144" s="1">
        <v>150000</v>
      </c>
      <c r="L144" t="str">
        <f>IF(Table1[[#This Row],[Surgery_Cost_NGN]]&gt;0, "Yes", "No")</f>
        <v>Yes</v>
      </c>
      <c r="M144" s="1">
        <v>294526</v>
      </c>
      <c r="N144" t="str">
        <f>IF(Table1[[#This Row],[Surgery_Cost_NGN]]&gt;Table1[[#This Row],[Bill_Amount_NGN]], "Anomaly detected", "Valid")</f>
        <v>Valid</v>
      </c>
      <c r="O144" s="1">
        <f t="shared" si="2"/>
        <v>50.929289774077667</v>
      </c>
    </row>
    <row r="145" spans="1:15" x14ac:dyDescent="0.35">
      <c r="A145" t="s">
        <v>207</v>
      </c>
      <c r="B145" t="s">
        <v>13</v>
      </c>
      <c r="C145">
        <v>43</v>
      </c>
      <c r="D145" t="str">
        <f>IF(Table1[[#This Row],[Age]]&lt;=4, "Toddler (0-4)",
IF(Table1[[#This Row],[Age]]&lt;=12, "Child (5-12)",
IF(Table1[[#This Row],[Age]]&lt;=19, "Adolescent (13-19)",
IF(Table1[[#This Row],[Age]]&lt;=35, "Young adult (20-35)",
IF(Table1[[#This Row],[Age]]&lt;=59, "Adult (36-59)", "Elderly (60-90)")))))</f>
        <v>Adult (36-59)</v>
      </c>
      <c r="E145" t="s">
        <v>22</v>
      </c>
      <c r="F145">
        <v>5</v>
      </c>
      <c r="G145" t="str">
        <f>IF(Table1[[#This Row],[Admission_Days]]&lt;=5, "Immediate (1-5)",
IF(Table1[[#This Row],[Admission_Days]]&lt;=10, "Short-term (6-10)",
IF(Table1[[#This Row],[Admission_Days]]&lt;=15, "Medium-term (11-15)", "Long-term (16-20)")))</f>
        <v>Immediate (1-5)</v>
      </c>
      <c r="H145" t="s">
        <v>18</v>
      </c>
      <c r="I145">
        <v>2</v>
      </c>
      <c r="J145">
        <v>7</v>
      </c>
      <c r="K145" s="1">
        <v>250000</v>
      </c>
      <c r="L145" t="str">
        <f>IF(Table1[[#This Row],[Surgery_Cost_NGN]]&gt;0, "Yes", "No")</f>
        <v>Yes</v>
      </c>
      <c r="M145" s="1">
        <v>353948</v>
      </c>
      <c r="N145" t="str">
        <f>IF(Table1[[#This Row],[Surgery_Cost_NGN]]&gt;Table1[[#This Row],[Bill_Amount_NGN]], "Anomaly detected", "Valid")</f>
        <v>Valid</v>
      </c>
      <c r="O145" s="1">
        <f t="shared" si="2"/>
        <v>70.631844225705478</v>
      </c>
    </row>
    <row r="146" spans="1:15" x14ac:dyDescent="0.35">
      <c r="A146" t="s">
        <v>208</v>
      </c>
      <c r="B146" t="s">
        <v>13</v>
      </c>
      <c r="C146">
        <v>48</v>
      </c>
      <c r="D146" t="str">
        <f>IF(Table1[[#This Row],[Age]]&lt;=4, "Toddler (0-4)",
IF(Table1[[#This Row],[Age]]&lt;=12, "Child (5-12)",
IF(Table1[[#This Row],[Age]]&lt;=19, "Adolescent (13-19)",
IF(Table1[[#This Row],[Age]]&lt;=35, "Young adult (20-35)",
IF(Table1[[#This Row],[Age]]&lt;=59, "Adult (36-59)", "Elderly (60-90)")))))</f>
        <v>Adult (36-59)</v>
      </c>
      <c r="E146" t="s">
        <v>19</v>
      </c>
      <c r="F146">
        <v>10</v>
      </c>
      <c r="G146" t="str">
        <f>IF(Table1[[#This Row],[Admission_Days]]&lt;=5, "Immediate (1-5)",
IF(Table1[[#This Row],[Admission_Days]]&lt;=10, "Short-term (6-10)",
IF(Table1[[#This Row],[Admission_Days]]&lt;=15, "Medium-term (11-15)", "Long-term (16-20)")))</f>
        <v>Short-term (6-10)</v>
      </c>
      <c r="H146" t="s">
        <v>17</v>
      </c>
      <c r="I146">
        <v>4</v>
      </c>
      <c r="J146">
        <v>6</v>
      </c>
      <c r="K146" s="1">
        <v>0</v>
      </c>
      <c r="L146" t="str">
        <f>IF(Table1[[#This Row],[Surgery_Cost_NGN]]&gt;0, "Yes", "No")</f>
        <v>No</v>
      </c>
      <c r="M146" s="1">
        <v>200496</v>
      </c>
      <c r="N146" t="str">
        <f>IF(Table1[[#This Row],[Surgery_Cost_NGN]]&gt;Table1[[#This Row],[Bill_Amount_NGN]], "Anomaly detected", "Valid")</f>
        <v>Valid</v>
      </c>
      <c r="O146" s="1">
        <f t="shared" si="2"/>
        <v>0</v>
      </c>
    </row>
    <row r="147" spans="1:15" x14ac:dyDescent="0.35">
      <c r="A147" t="s">
        <v>209</v>
      </c>
      <c r="B147" t="s">
        <v>10</v>
      </c>
      <c r="C147">
        <v>39</v>
      </c>
      <c r="D147" t="str">
        <f>IF(Table1[[#This Row],[Age]]&lt;=4, "Toddler (0-4)",
IF(Table1[[#This Row],[Age]]&lt;=12, "Child (5-12)",
IF(Table1[[#This Row],[Age]]&lt;=19, "Adolescent (13-19)",
IF(Table1[[#This Row],[Age]]&lt;=35, "Young adult (20-35)",
IF(Table1[[#This Row],[Age]]&lt;=59, "Adult (36-59)", "Elderly (60-90)")))))</f>
        <v>Adult (36-59)</v>
      </c>
      <c r="E147" t="s">
        <v>20</v>
      </c>
      <c r="F147">
        <v>12</v>
      </c>
      <c r="G147" t="str">
        <f>IF(Table1[[#This Row],[Admission_Days]]&lt;=5, "Immediate (1-5)",
IF(Table1[[#This Row],[Admission_Days]]&lt;=10, "Short-term (6-10)",
IF(Table1[[#This Row],[Admission_Days]]&lt;=15, "Medium-term (11-15)", "Long-term (16-20)")))</f>
        <v>Medium-term (11-15)</v>
      </c>
      <c r="H147" t="s">
        <v>21</v>
      </c>
      <c r="I147">
        <v>0</v>
      </c>
      <c r="J147">
        <v>1</v>
      </c>
      <c r="K147" s="1">
        <v>150000</v>
      </c>
      <c r="L147" t="str">
        <f>IF(Table1[[#This Row],[Surgery_Cost_NGN]]&gt;0, "Yes", "No")</f>
        <v>Yes</v>
      </c>
      <c r="M147" s="1">
        <v>223131</v>
      </c>
      <c r="N147" t="str">
        <f>IF(Table1[[#This Row],[Surgery_Cost_NGN]]&gt;Table1[[#This Row],[Bill_Amount_NGN]], "Anomaly detected", "Valid")</f>
        <v>Valid</v>
      </c>
      <c r="O147" s="1">
        <f t="shared" si="2"/>
        <v>67.225083022977543</v>
      </c>
    </row>
    <row r="148" spans="1:15" x14ac:dyDescent="0.35">
      <c r="A148" t="s">
        <v>210</v>
      </c>
      <c r="B148" t="s">
        <v>10</v>
      </c>
      <c r="C148">
        <v>42</v>
      </c>
      <c r="D148" t="str">
        <f>IF(Table1[[#This Row],[Age]]&lt;=4, "Toddler (0-4)",
IF(Table1[[#This Row],[Age]]&lt;=12, "Child (5-12)",
IF(Table1[[#This Row],[Age]]&lt;=19, "Adolescent (13-19)",
IF(Table1[[#This Row],[Age]]&lt;=35, "Young adult (20-35)",
IF(Table1[[#This Row],[Age]]&lt;=59, "Adult (36-59)", "Elderly (60-90)")))))</f>
        <v>Adult (36-59)</v>
      </c>
      <c r="E148" t="s">
        <v>20</v>
      </c>
      <c r="F148">
        <v>2</v>
      </c>
      <c r="G148" t="str">
        <f>IF(Table1[[#This Row],[Admission_Days]]&lt;=5, "Immediate (1-5)",
IF(Table1[[#This Row],[Admission_Days]]&lt;=10, "Short-term (6-10)",
IF(Table1[[#This Row],[Admission_Days]]&lt;=15, "Medium-term (11-15)", "Long-term (16-20)")))</f>
        <v>Immediate (1-5)</v>
      </c>
      <c r="H148" t="s">
        <v>17</v>
      </c>
      <c r="I148">
        <v>4</v>
      </c>
      <c r="J148">
        <v>9</v>
      </c>
      <c r="K148" s="1">
        <v>0</v>
      </c>
      <c r="L148" t="str">
        <f>IF(Table1[[#This Row],[Surgery_Cost_NGN]]&gt;0, "Yes", "No")</f>
        <v>No</v>
      </c>
      <c r="M148" s="1">
        <v>157030</v>
      </c>
      <c r="N148" t="str">
        <f>IF(Table1[[#This Row],[Surgery_Cost_NGN]]&gt;Table1[[#This Row],[Bill_Amount_NGN]], "Anomaly detected", "Valid")</f>
        <v>Valid</v>
      </c>
      <c r="O148" s="1">
        <f t="shared" si="2"/>
        <v>0</v>
      </c>
    </row>
    <row r="149" spans="1:15" x14ac:dyDescent="0.35">
      <c r="A149" t="s">
        <v>211</v>
      </c>
      <c r="B149" t="s">
        <v>10</v>
      </c>
      <c r="C149">
        <v>26</v>
      </c>
      <c r="D149" t="str">
        <f>IF(Table1[[#This Row],[Age]]&lt;=4, "Toddler (0-4)",
IF(Table1[[#This Row],[Age]]&lt;=12, "Child (5-12)",
IF(Table1[[#This Row],[Age]]&lt;=19, "Adolescent (13-19)",
IF(Table1[[#This Row],[Age]]&lt;=35, "Young adult (20-35)",
IF(Table1[[#This Row],[Age]]&lt;=59, "Adult (36-59)", "Elderly (60-90)")))))</f>
        <v>Young adult (20-35)</v>
      </c>
      <c r="E149" t="s">
        <v>11</v>
      </c>
      <c r="F149">
        <v>13</v>
      </c>
      <c r="G149" t="str">
        <f>IF(Table1[[#This Row],[Admission_Days]]&lt;=5, "Immediate (1-5)",
IF(Table1[[#This Row],[Admission_Days]]&lt;=10, "Short-term (6-10)",
IF(Table1[[#This Row],[Admission_Days]]&lt;=15, "Medium-term (11-15)", "Long-term (16-20)")))</f>
        <v>Medium-term (11-15)</v>
      </c>
      <c r="H149" t="s">
        <v>18</v>
      </c>
      <c r="I149">
        <v>1</v>
      </c>
      <c r="J149">
        <v>9</v>
      </c>
      <c r="K149" s="1">
        <v>0</v>
      </c>
      <c r="L149" t="str">
        <f>IF(Table1[[#This Row],[Surgery_Cost_NGN]]&gt;0, "Yes", "No")</f>
        <v>No</v>
      </c>
      <c r="M149" s="1">
        <v>207841</v>
      </c>
      <c r="N149" t="str">
        <f>IF(Table1[[#This Row],[Surgery_Cost_NGN]]&gt;Table1[[#This Row],[Bill_Amount_NGN]], "Anomaly detected", "Valid")</f>
        <v>Valid</v>
      </c>
      <c r="O149" s="1">
        <f t="shared" si="2"/>
        <v>0</v>
      </c>
    </row>
    <row r="150" spans="1:15" x14ac:dyDescent="0.35">
      <c r="A150" t="s">
        <v>212</v>
      </c>
      <c r="B150" t="s">
        <v>10</v>
      </c>
      <c r="C150">
        <v>50</v>
      </c>
      <c r="D150" t="str">
        <f>IF(Table1[[#This Row],[Age]]&lt;=4, "Toddler (0-4)",
IF(Table1[[#This Row],[Age]]&lt;=12, "Child (5-12)",
IF(Table1[[#This Row],[Age]]&lt;=19, "Adolescent (13-19)",
IF(Table1[[#This Row],[Age]]&lt;=35, "Young adult (20-35)",
IF(Table1[[#This Row],[Age]]&lt;=59, "Adult (36-59)", "Elderly (60-90)")))))</f>
        <v>Adult (36-59)</v>
      </c>
      <c r="E150" t="s">
        <v>22</v>
      </c>
      <c r="F150">
        <v>8</v>
      </c>
      <c r="G150" t="str">
        <f>IF(Table1[[#This Row],[Admission_Days]]&lt;=5, "Immediate (1-5)",
IF(Table1[[#This Row],[Admission_Days]]&lt;=10, "Short-term (6-10)",
IF(Table1[[#This Row],[Admission_Days]]&lt;=15, "Medium-term (11-15)", "Long-term (16-20)")))</f>
        <v>Short-term (6-10)</v>
      </c>
      <c r="H150" t="s">
        <v>15</v>
      </c>
      <c r="I150">
        <v>3</v>
      </c>
      <c r="J150">
        <v>2</v>
      </c>
      <c r="K150" s="1">
        <v>0</v>
      </c>
      <c r="L150" t="str">
        <f>IF(Table1[[#This Row],[Surgery_Cost_NGN]]&gt;0, "Yes", "No")</f>
        <v>No</v>
      </c>
      <c r="M150" s="1">
        <v>144783</v>
      </c>
      <c r="N150" t="str">
        <f>IF(Table1[[#This Row],[Surgery_Cost_NGN]]&gt;Table1[[#This Row],[Bill_Amount_NGN]], "Anomaly detected", "Valid")</f>
        <v>Valid</v>
      </c>
      <c r="O150" s="1">
        <f t="shared" si="2"/>
        <v>0</v>
      </c>
    </row>
    <row r="151" spans="1:15" x14ac:dyDescent="0.35">
      <c r="A151" t="s">
        <v>213</v>
      </c>
      <c r="B151" t="s">
        <v>13</v>
      </c>
      <c r="C151">
        <v>25</v>
      </c>
      <c r="D151" t="str">
        <f>IF(Table1[[#This Row],[Age]]&lt;=4, "Toddler (0-4)",
IF(Table1[[#This Row],[Age]]&lt;=12, "Child (5-12)",
IF(Table1[[#This Row],[Age]]&lt;=19, "Adolescent (13-19)",
IF(Table1[[#This Row],[Age]]&lt;=35, "Young adult (20-35)",
IF(Table1[[#This Row],[Age]]&lt;=59, "Adult (36-59)", "Elderly (60-90)")))))</f>
        <v>Young adult (20-35)</v>
      </c>
      <c r="E151" t="s">
        <v>20</v>
      </c>
      <c r="F151">
        <v>2</v>
      </c>
      <c r="G151" t="str">
        <f>IF(Table1[[#This Row],[Admission_Days]]&lt;=5, "Immediate (1-5)",
IF(Table1[[#This Row],[Admission_Days]]&lt;=10, "Short-term (6-10)",
IF(Table1[[#This Row],[Admission_Days]]&lt;=15, "Medium-term (11-15)", "Long-term (16-20)")))</f>
        <v>Immediate (1-5)</v>
      </c>
      <c r="H151" t="s">
        <v>21</v>
      </c>
      <c r="I151">
        <v>2</v>
      </c>
      <c r="J151">
        <v>3</v>
      </c>
      <c r="K151" s="1">
        <v>0</v>
      </c>
      <c r="L151" t="str">
        <f>IF(Table1[[#This Row],[Surgery_Cost_NGN]]&gt;0, "Yes", "No")</f>
        <v>No</v>
      </c>
      <c r="M151" s="1">
        <v>65934</v>
      </c>
      <c r="N151" t="str">
        <f>IF(Table1[[#This Row],[Surgery_Cost_NGN]]&gt;Table1[[#This Row],[Bill_Amount_NGN]], "Anomaly detected", "Valid")</f>
        <v>Valid</v>
      </c>
      <c r="O151" s="1">
        <f t="shared" si="2"/>
        <v>0</v>
      </c>
    </row>
    <row r="152" spans="1:15" x14ac:dyDescent="0.35">
      <c r="A152" t="s">
        <v>214</v>
      </c>
      <c r="B152" t="s">
        <v>10</v>
      </c>
      <c r="C152">
        <v>24</v>
      </c>
      <c r="D152" t="str">
        <f>IF(Table1[[#This Row],[Age]]&lt;=4, "Toddler (0-4)",
IF(Table1[[#This Row],[Age]]&lt;=12, "Child (5-12)",
IF(Table1[[#This Row],[Age]]&lt;=19, "Adolescent (13-19)",
IF(Table1[[#This Row],[Age]]&lt;=35, "Young adult (20-35)",
IF(Table1[[#This Row],[Age]]&lt;=59, "Adult (36-59)", "Elderly (60-90)")))))</f>
        <v>Young adult (20-35)</v>
      </c>
      <c r="E152" t="s">
        <v>20</v>
      </c>
      <c r="F152">
        <v>20</v>
      </c>
      <c r="G152" t="str">
        <f>IF(Table1[[#This Row],[Admission_Days]]&lt;=5, "Immediate (1-5)",
IF(Table1[[#This Row],[Admission_Days]]&lt;=10, "Short-term (6-10)",
IF(Table1[[#This Row],[Admission_Days]]&lt;=15, "Medium-term (11-15)", "Long-term (16-20)")))</f>
        <v>Long-term (16-20)</v>
      </c>
      <c r="H152" t="s">
        <v>18</v>
      </c>
      <c r="I152">
        <v>5</v>
      </c>
      <c r="J152">
        <v>5</v>
      </c>
      <c r="K152" s="1">
        <v>400000</v>
      </c>
      <c r="L152" t="str">
        <f>IF(Table1[[#This Row],[Surgery_Cost_NGN]]&gt;0, "Yes", "No")</f>
        <v>Yes</v>
      </c>
      <c r="M152" s="1">
        <v>770990</v>
      </c>
      <c r="N152" t="str">
        <f>IF(Table1[[#This Row],[Surgery_Cost_NGN]]&gt;Table1[[#This Row],[Bill_Amount_NGN]], "Anomaly detected", "Valid")</f>
        <v>Valid</v>
      </c>
      <c r="O152" s="1">
        <f t="shared" si="2"/>
        <v>51.881347358590901</v>
      </c>
    </row>
    <row r="153" spans="1:15" x14ac:dyDescent="0.35">
      <c r="A153" t="s">
        <v>215</v>
      </c>
      <c r="B153" t="s">
        <v>10</v>
      </c>
      <c r="C153">
        <v>13</v>
      </c>
      <c r="D153" t="str">
        <f>IF(Table1[[#This Row],[Age]]&lt;=4, "Toddler (0-4)",
IF(Table1[[#This Row],[Age]]&lt;=12, "Child (5-12)",
IF(Table1[[#This Row],[Age]]&lt;=19, "Adolescent (13-19)",
IF(Table1[[#This Row],[Age]]&lt;=35, "Young adult (20-35)",
IF(Table1[[#This Row],[Age]]&lt;=59, "Adult (36-59)", "Elderly (60-90)")))))</f>
        <v>Adolescent (13-19)</v>
      </c>
      <c r="E153" t="s">
        <v>22</v>
      </c>
      <c r="F153">
        <v>1</v>
      </c>
      <c r="G153" t="str">
        <f>IF(Table1[[#This Row],[Admission_Days]]&lt;=5, "Immediate (1-5)",
IF(Table1[[#This Row],[Admission_Days]]&lt;=10, "Short-term (6-10)",
IF(Table1[[#This Row],[Admission_Days]]&lt;=15, "Medium-term (11-15)", "Long-term (16-20)")))</f>
        <v>Immediate (1-5)</v>
      </c>
      <c r="H153" t="s">
        <v>21</v>
      </c>
      <c r="I153">
        <v>3</v>
      </c>
      <c r="J153">
        <v>5</v>
      </c>
      <c r="K153" s="1">
        <v>0</v>
      </c>
      <c r="L153" t="str">
        <f>IF(Table1[[#This Row],[Surgery_Cost_NGN]]&gt;0, "Yes", "No")</f>
        <v>No</v>
      </c>
      <c r="M153" s="1">
        <v>71629</v>
      </c>
      <c r="N153" t="str">
        <f>IF(Table1[[#This Row],[Surgery_Cost_NGN]]&gt;Table1[[#This Row],[Bill_Amount_NGN]], "Anomaly detected", "Valid")</f>
        <v>Valid</v>
      </c>
      <c r="O153" s="1">
        <f t="shared" si="2"/>
        <v>0</v>
      </c>
    </row>
    <row r="154" spans="1:15" x14ac:dyDescent="0.35">
      <c r="A154" t="s">
        <v>216</v>
      </c>
      <c r="B154" t="s">
        <v>10</v>
      </c>
      <c r="C154">
        <v>60</v>
      </c>
      <c r="D154" t="str">
        <f>IF(Table1[[#This Row],[Age]]&lt;=4, "Toddler (0-4)",
IF(Table1[[#This Row],[Age]]&lt;=12, "Child (5-12)",
IF(Table1[[#This Row],[Age]]&lt;=19, "Adolescent (13-19)",
IF(Table1[[#This Row],[Age]]&lt;=35, "Young adult (20-35)",
IF(Table1[[#This Row],[Age]]&lt;=59, "Adult (36-59)", "Elderly (60-90)")))))</f>
        <v>Elderly (60-90)</v>
      </c>
      <c r="E154" t="s">
        <v>22</v>
      </c>
      <c r="F154">
        <v>5</v>
      </c>
      <c r="G154" t="str">
        <f>IF(Table1[[#This Row],[Admission_Days]]&lt;=5, "Immediate (1-5)",
IF(Table1[[#This Row],[Admission_Days]]&lt;=10, "Short-term (6-10)",
IF(Table1[[#This Row],[Admission_Days]]&lt;=15, "Medium-term (11-15)", "Long-term (16-20)")))</f>
        <v>Immediate (1-5)</v>
      </c>
      <c r="H154" t="s">
        <v>12</v>
      </c>
      <c r="I154">
        <v>4</v>
      </c>
      <c r="J154">
        <v>1</v>
      </c>
      <c r="K154" s="1">
        <v>600000</v>
      </c>
      <c r="L154" t="str">
        <f>IF(Table1[[#This Row],[Surgery_Cost_NGN]]&gt;0, "Yes", "No")</f>
        <v>Yes</v>
      </c>
      <c r="M154" s="1">
        <v>720422</v>
      </c>
      <c r="N154" t="str">
        <f>IF(Table1[[#This Row],[Surgery_Cost_NGN]]&gt;Table1[[#This Row],[Bill_Amount_NGN]], "Anomaly detected", "Valid")</f>
        <v>Valid</v>
      </c>
      <c r="O154" s="1">
        <f t="shared" si="2"/>
        <v>83.284519351158067</v>
      </c>
    </row>
    <row r="155" spans="1:15" x14ac:dyDescent="0.35">
      <c r="A155" t="s">
        <v>217</v>
      </c>
      <c r="B155" t="s">
        <v>10</v>
      </c>
      <c r="C155">
        <v>7</v>
      </c>
      <c r="D155" t="str">
        <f>IF(Table1[[#This Row],[Age]]&lt;=4, "Toddler (0-4)",
IF(Table1[[#This Row],[Age]]&lt;=12, "Child (5-12)",
IF(Table1[[#This Row],[Age]]&lt;=19, "Adolescent (13-19)",
IF(Table1[[#This Row],[Age]]&lt;=35, "Young adult (20-35)",
IF(Table1[[#This Row],[Age]]&lt;=59, "Adult (36-59)", "Elderly (60-90)")))))</f>
        <v>Child (5-12)</v>
      </c>
      <c r="E155" t="s">
        <v>20</v>
      </c>
      <c r="F155">
        <v>9</v>
      </c>
      <c r="G155" t="str">
        <f>IF(Table1[[#This Row],[Admission_Days]]&lt;=5, "Immediate (1-5)",
IF(Table1[[#This Row],[Admission_Days]]&lt;=10, "Short-term (6-10)",
IF(Table1[[#This Row],[Admission_Days]]&lt;=15, "Medium-term (11-15)", "Long-term (16-20)")))</f>
        <v>Short-term (6-10)</v>
      </c>
      <c r="H155" t="s">
        <v>17</v>
      </c>
      <c r="I155">
        <v>2</v>
      </c>
      <c r="J155">
        <v>8</v>
      </c>
      <c r="K155" s="1">
        <v>150000</v>
      </c>
      <c r="L155" t="str">
        <f>IF(Table1[[#This Row],[Surgery_Cost_NGN]]&gt;0, "Yes", "No")</f>
        <v>Yes</v>
      </c>
      <c r="M155" s="1">
        <v>326193</v>
      </c>
      <c r="N155" t="str">
        <f>IF(Table1[[#This Row],[Surgery_Cost_NGN]]&gt;Table1[[#This Row],[Bill_Amount_NGN]], "Anomaly detected", "Valid")</f>
        <v>Valid</v>
      </c>
      <c r="O155" s="1">
        <f t="shared" si="2"/>
        <v>45.985045663150345</v>
      </c>
    </row>
    <row r="156" spans="1:15" x14ac:dyDescent="0.35">
      <c r="A156" t="s">
        <v>218</v>
      </c>
      <c r="B156" t="s">
        <v>10</v>
      </c>
      <c r="C156">
        <v>57</v>
      </c>
      <c r="D156" t="str">
        <f>IF(Table1[[#This Row],[Age]]&lt;=4, "Toddler (0-4)",
IF(Table1[[#This Row],[Age]]&lt;=12, "Child (5-12)",
IF(Table1[[#This Row],[Age]]&lt;=19, "Adolescent (13-19)",
IF(Table1[[#This Row],[Age]]&lt;=35, "Young adult (20-35)",
IF(Table1[[#This Row],[Age]]&lt;=59, "Adult (36-59)", "Elderly (60-90)")))))</f>
        <v>Adult (36-59)</v>
      </c>
      <c r="E156" t="s">
        <v>22</v>
      </c>
      <c r="F156">
        <v>17</v>
      </c>
      <c r="G156" t="str">
        <f>IF(Table1[[#This Row],[Admission_Days]]&lt;=5, "Immediate (1-5)",
IF(Table1[[#This Row],[Admission_Days]]&lt;=10, "Short-term (6-10)",
IF(Table1[[#This Row],[Admission_Days]]&lt;=15, "Medium-term (11-15)", "Long-term (16-20)")))</f>
        <v>Long-term (16-20)</v>
      </c>
      <c r="H156" t="s">
        <v>12</v>
      </c>
      <c r="I156">
        <v>4</v>
      </c>
      <c r="J156">
        <v>8</v>
      </c>
      <c r="K156" s="1">
        <v>250000</v>
      </c>
      <c r="L156" t="str">
        <f>IF(Table1[[#This Row],[Surgery_Cost_NGN]]&gt;0, "Yes", "No")</f>
        <v>Yes</v>
      </c>
      <c r="M156" s="1">
        <v>616733</v>
      </c>
      <c r="N156" t="str">
        <f>IF(Table1[[#This Row],[Surgery_Cost_NGN]]&gt;Table1[[#This Row],[Bill_Amount_NGN]], "Anomaly detected", "Valid")</f>
        <v>Valid</v>
      </c>
      <c r="O156" s="1">
        <f t="shared" si="2"/>
        <v>40.536180162242005</v>
      </c>
    </row>
    <row r="157" spans="1:15" x14ac:dyDescent="0.35">
      <c r="A157" t="s">
        <v>219</v>
      </c>
      <c r="B157" t="s">
        <v>13</v>
      </c>
      <c r="C157">
        <v>36</v>
      </c>
      <c r="D157" t="str">
        <f>IF(Table1[[#This Row],[Age]]&lt;=4, "Toddler (0-4)",
IF(Table1[[#This Row],[Age]]&lt;=12, "Child (5-12)",
IF(Table1[[#This Row],[Age]]&lt;=19, "Adolescent (13-19)",
IF(Table1[[#This Row],[Age]]&lt;=35, "Young adult (20-35)",
IF(Table1[[#This Row],[Age]]&lt;=59, "Adult (36-59)", "Elderly (60-90)")))))</f>
        <v>Adult (36-59)</v>
      </c>
      <c r="E157" t="s">
        <v>20</v>
      </c>
      <c r="F157">
        <v>9</v>
      </c>
      <c r="G157" t="str">
        <f>IF(Table1[[#This Row],[Admission_Days]]&lt;=5, "Immediate (1-5)",
IF(Table1[[#This Row],[Admission_Days]]&lt;=10, "Short-term (6-10)",
IF(Table1[[#This Row],[Admission_Days]]&lt;=15, "Medium-term (11-15)", "Long-term (16-20)")))</f>
        <v>Short-term (6-10)</v>
      </c>
      <c r="H157" t="s">
        <v>18</v>
      </c>
      <c r="I157">
        <v>1</v>
      </c>
      <c r="J157">
        <v>4</v>
      </c>
      <c r="K157" s="1">
        <v>0</v>
      </c>
      <c r="L157" t="str">
        <f>IF(Table1[[#This Row],[Surgery_Cost_NGN]]&gt;0, "Yes", "No")</f>
        <v>No</v>
      </c>
      <c r="M157" s="1">
        <v>128344</v>
      </c>
      <c r="N157" t="str">
        <f>IF(Table1[[#This Row],[Surgery_Cost_NGN]]&gt;Table1[[#This Row],[Bill_Amount_NGN]], "Anomaly detected", "Valid")</f>
        <v>Valid</v>
      </c>
      <c r="O157" s="1">
        <f t="shared" si="2"/>
        <v>0</v>
      </c>
    </row>
    <row r="158" spans="1:15" x14ac:dyDescent="0.35">
      <c r="A158" t="s">
        <v>220</v>
      </c>
      <c r="B158" t="s">
        <v>10</v>
      </c>
      <c r="C158">
        <v>45</v>
      </c>
      <c r="D158" t="str">
        <f>IF(Table1[[#This Row],[Age]]&lt;=4, "Toddler (0-4)",
IF(Table1[[#This Row],[Age]]&lt;=12, "Child (5-12)",
IF(Table1[[#This Row],[Age]]&lt;=19, "Adolescent (13-19)",
IF(Table1[[#This Row],[Age]]&lt;=35, "Young adult (20-35)",
IF(Table1[[#This Row],[Age]]&lt;=59, "Adult (36-59)", "Elderly (60-90)")))))</f>
        <v>Adult (36-59)</v>
      </c>
      <c r="E158" t="s">
        <v>20</v>
      </c>
      <c r="F158">
        <v>11</v>
      </c>
      <c r="G158" t="str">
        <f>IF(Table1[[#This Row],[Admission_Days]]&lt;=5, "Immediate (1-5)",
IF(Table1[[#This Row],[Admission_Days]]&lt;=10, "Short-term (6-10)",
IF(Table1[[#This Row],[Admission_Days]]&lt;=15, "Medium-term (11-15)", "Long-term (16-20)")))</f>
        <v>Medium-term (11-15)</v>
      </c>
      <c r="H158" t="s">
        <v>15</v>
      </c>
      <c r="I158">
        <v>0</v>
      </c>
      <c r="J158">
        <v>7</v>
      </c>
      <c r="K158" s="1">
        <v>150000</v>
      </c>
      <c r="L158" t="str">
        <f>IF(Table1[[#This Row],[Surgery_Cost_NGN]]&gt;0, "Yes", "No")</f>
        <v>Yes</v>
      </c>
      <c r="M158" s="1">
        <v>340667</v>
      </c>
      <c r="N158" t="str">
        <f>IF(Table1[[#This Row],[Surgery_Cost_NGN]]&gt;Table1[[#This Row],[Bill_Amount_NGN]], "Anomaly detected", "Valid")</f>
        <v>Valid</v>
      </c>
      <c r="O158" s="1">
        <f t="shared" si="2"/>
        <v>44.031268071166267</v>
      </c>
    </row>
    <row r="159" spans="1:15" x14ac:dyDescent="0.35">
      <c r="A159" t="s">
        <v>221</v>
      </c>
      <c r="B159" t="s">
        <v>13</v>
      </c>
      <c r="C159">
        <v>20</v>
      </c>
      <c r="D159" t="str">
        <f>IF(Table1[[#This Row],[Age]]&lt;=4, "Toddler (0-4)",
IF(Table1[[#This Row],[Age]]&lt;=12, "Child (5-12)",
IF(Table1[[#This Row],[Age]]&lt;=19, "Adolescent (13-19)",
IF(Table1[[#This Row],[Age]]&lt;=35, "Young adult (20-35)",
IF(Table1[[#This Row],[Age]]&lt;=59, "Adult (36-59)", "Elderly (60-90)")))))</f>
        <v>Young adult (20-35)</v>
      </c>
      <c r="E159" t="s">
        <v>11</v>
      </c>
      <c r="F159">
        <v>15</v>
      </c>
      <c r="G159" t="str">
        <f>IF(Table1[[#This Row],[Admission_Days]]&lt;=5, "Immediate (1-5)",
IF(Table1[[#This Row],[Admission_Days]]&lt;=10, "Short-term (6-10)",
IF(Table1[[#This Row],[Admission_Days]]&lt;=15, "Medium-term (11-15)", "Long-term (16-20)")))</f>
        <v>Medium-term (11-15)</v>
      </c>
      <c r="H159" t="s">
        <v>21</v>
      </c>
      <c r="I159">
        <v>2</v>
      </c>
      <c r="J159">
        <v>3</v>
      </c>
      <c r="K159" s="1">
        <v>0</v>
      </c>
      <c r="L159" t="str">
        <f>IF(Table1[[#This Row],[Surgery_Cost_NGN]]&gt;0, "Yes", "No")</f>
        <v>No</v>
      </c>
      <c r="M159" s="1">
        <v>145143</v>
      </c>
      <c r="N159" t="str">
        <f>IF(Table1[[#This Row],[Surgery_Cost_NGN]]&gt;Table1[[#This Row],[Bill_Amount_NGN]], "Anomaly detected", "Valid")</f>
        <v>Valid</v>
      </c>
      <c r="O159" s="1">
        <f t="shared" si="2"/>
        <v>0</v>
      </c>
    </row>
    <row r="160" spans="1:15" x14ac:dyDescent="0.35">
      <c r="A160" t="s">
        <v>222</v>
      </c>
      <c r="B160" t="s">
        <v>10</v>
      </c>
      <c r="C160">
        <v>65</v>
      </c>
      <c r="D160" t="str">
        <f>IF(Table1[[#This Row],[Age]]&lt;=4, "Toddler (0-4)",
IF(Table1[[#This Row],[Age]]&lt;=12, "Child (5-12)",
IF(Table1[[#This Row],[Age]]&lt;=19, "Adolescent (13-19)",
IF(Table1[[#This Row],[Age]]&lt;=35, "Young adult (20-35)",
IF(Table1[[#This Row],[Age]]&lt;=59, "Adult (36-59)", "Elderly (60-90)")))))</f>
        <v>Elderly (60-90)</v>
      </c>
      <c r="E160" t="s">
        <v>14</v>
      </c>
      <c r="F160">
        <v>6</v>
      </c>
      <c r="G160" t="str">
        <f>IF(Table1[[#This Row],[Admission_Days]]&lt;=5, "Immediate (1-5)",
IF(Table1[[#This Row],[Admission_Days]]&lt;=10, "Short-term (6-10)",
IF(Table1[[#This Row],[Admission_Days]]&lt;=15, "Medium-term (11-15)", "Long-term (16-20)")))</f>
        <v>Short-term (6-10)</v>
      </c>
      <c r="H160" t="s">
        <v>17</v>
      </c>
      <c r="I160">
        <v>1</v>
      </c>
      <c r="J160">
        <v>6</v>
      </c>
      <c r="K160" s="1">
        <v>160000</v>
      </c>
      <c r="L160" t="str">
        <f>IF(Table1[[#This Row],[Surgery_Cost_NGN]]&gt;0, "Yes", "No")</f>
        <v>Yes</v>
      </c>
      <c r="M160" s="1">
        <v>90000</v>
      </c>
      <c r="N160" t="str">
        <f>IF(Table1[[#This Row],[Surgery_Cost_NGN]]&gt;Table1[[#This Row],[Bill_Amount_NGN]], "Anomaly detected", "Valid")</f>
        <v>Anomaly detected</v>
      </c>
      <c r="O160" s="1">
        <f t="shared" si="2"/>
        <v>177.77777777777777</v>
      </c>
    </row>
    <row r="161" spans="1:15" x14ac:dyDescent="0.35">
      <c r="A161" t="s">
        <v>223</v>
      </c>
      <c r="B161" t="s">
        <v>13</v>
      </c>
      <c r="C161">
        <v>8</v>
      </c>
      <c r="D161" t="str">
        <f>IF(Table1[[#This Row],[Age]]&lt;=4, "Toddler (0-4)",
IF(Table1[[#This Row],[Age]]&lt;=12, "Child (5-12)",
IF(Table1[[#This Row],[Age]]&lt;=19, "Adolescent (13-19)",
IF(Table1[[#This Row],[Age]]&lt;=35, "Young adult (20-35)",
IF(Table1[[#This Row],[Age]]&lt;=59, "Adult (36-59)", "Elderly (60-90)")))))</f>
        <v>Child (5-12)</v>
      </c>
      <c r="E161" t="s">
        <v>20</v>
      </c>
      <c r="F161">
        <v>3</v>
      </c>
      <c r="G161" t="str">
        <f>IF(Table1[[#This Row],[Admission_Days]]&lt;=5, "Immediate (1-5)",
IF(Table1[[#This Row],[Admission_Days]]&lt;=10, "Short-term (6-10)",
IF(Table1[[#This Row],[Admission_Days]]&lt;=15, "Medium-term (11-15)", "Long-term (16-20)")))</f>
        <v>Immediate (1-5)</v>
      </c>
      <c r="H161" t="s">
        <v>21</v>
      </c>
      <c r="I161">
        <v>1</v>
      </c>
      <c r="J161">
        <v>9</v>
      </c>
      <c r="K161" s="1">
        <v>250000</v>
      </c>
      <c r="L161" t="str">
        <f>IF(Table1[[#This Row],[Surgery_Cost_NGN]]&gt;0, "Yes", "No")</f>
        <v>Yes</v>
      </c>
      <c r="M161" s="1">
        <v>390407</v>
      </c>
      <c r="N161" t="str">
        <f>IF(Table1[[#This Row],[Surgery_Cost_NGN]]&gt;Table1[[#This Row],[Bill_Amount_NGN]], "Anomaly detected", "Valid")</f>
        <v>Valid</v>
      </c>
      <c r="O161" s="1">
        <f t="shared" si="2"/>
        <v>64.035737064140747</v>
      </c>
    </row>
    <row r="162" spans="1:15" x14ac:dyDescent="0.35">
      <c r="A162" t="s">
        <v>224</v>
      </c>
      <c r="B162" t="s">
        <v>10</v>
      </c>
      <c r="C162">
        <v>16</v>
      </c>
      <c r="D162" t="str">
        <f>IF(Table1[[#This Row],[Age]]&lt;=4, "Toddler (0-4)",
IF(Table1[[#This Row],[Age]]&lt;=12, "Child (5-12)",
IF(Table1[[#This Row],[Age]]&lt;=19, "Adolescent (13-19)",
IF(Table1[[#This Row],[Age]]&lt;=35, "Young adult (20-35)",
IF(Table1[[#This Row],[Age]]&lt;=59, "Adult (36-59)", "Elderly (60-90)")))))</f>
        <v>Adolescent (13-19)</v>
      </c>
      <c r="E162" t="s">
        <v>16</v>
      </c>
      <c r="F162">
        <v>17</v>
      </c>
      <c r="G162" t="str">
        <f>IF(Table1[[#This Row],[Admission_Days]]&lt;=5, "Immediate (1-5)",
IF(Table1[[#This Row],[Admission_Days]]&lt;=10, "Short-term (6-10)",
IF(Table1[[#This Row],[Admission_Days]]&lt;=15, "Medium-term (11-15)", "Long-term (16-20)")))</f>
        <v>Long-term (16-20)</v>
      </c>
      <c r="H162" t="s">
        <v>18</v>
      </c>
      <c r="I162">
        <v>2</v>
      </c>
      <c r="J162">
        <v>1</v>
      </c>
      <c r="K162" s="1">
        <v>150000</v>
      </c>
      <c r="L162" t="str">
        <f>IF(Table1[[#This Row],[Surgery_Cost_NGN]]&gt;0, "Yes", "No")</f>
        <v>Yes</v>
      </c>
      <c r="M162" s="1">
        <v>298126</v>
      </c>
      <c r="N162" t="str">
        <f>IF(Table1[[#This Row],[Surgery_Cost_NGN]]&gt;Table1[[#This Row],[Bill_Amount_NGN]], "Anomaly detected", "Valid")</f>
        <v>Valid</v>
      </c>
      <c r="O162" s="1">
        <f t="shared" si="2"/>
        <v>50.314296639675838</v>
      </c>
    </row>
    <row r="163" spans="1:15" x14ac:dyDescent="0.35">
      <c r="A163" t="s">
        <v>225</v>
      </c>
      <c r="B163" t="s">
        <v>10</v>
      </c>
      <c r="C163">
        <v>14</v>
      </c>
      <c r="D163" t="str">
        <f>IF(Table1[[#This Row],[Age]]&lt;=4, "Toddler (0-4)",
IF(Table1[[#This Row],[Age]]&lt;=12, "Child (5-12)",
IF(Table1[[#This Row],[Age]]&lt;=19, "Adolescent (13-19)",
IF(Table1[[#This Row],[Age]]&lt;=35, "Young adult (20-35)",
IF(Table1[[#This Row],[Age]]&lt;=59, "Adult (36-59)", "Elderly (60-90)")))))</f>
        <v>Adolescent (13-19)</v>
      </c>
      <c r="E163" t="s">
        <v>19</v>
      </c>
      <c r="F163">
        <v>5</v>
      </c>
      <c r="G163" t="str">
        <f>IF(Table1[[#This Row],[Admission_Days]]&lt;=5, "Immediate (1-5)",
IF(Table1[[#This Row],[Admission_Days]]&lt;=10, "Short-term (6-10)",
IF(Table1[[#This Row],[Admission_Days]]&lt;=15, "Medium-term (11-15)", "Long-term (16-20)")))</f>
        <v>Immediate (1-5)</v>
      </c>
      <c r="H163" t="s">
        <v>21</v>
      </c>
      <c r="I163">
        <v>4</v>
      </c>
      <c r="J163">
        <v>5</v>
      </c>
      <c r="K163" s="1">
        <v>0</v>
      </c>
      <c r="L163" t="str">
        <f>IF(Table1[[#This Row],[Surgery_Cost_NGN]]&gt;0, "Yes", "No")</f>
        <v>No</v>
      </c>
      <c r="M163" s="1">
        <v>106333</v>
      </c>
      <c r="N163" t="str">
        <f>IF(Table1[[#This Row],[Surgery_Cost_NGN]]&gt;Table1[[#This Row],[Bill_Amount_NGN]], "Anomaly detected", "Valid")</f>
        <v>Valid</v>
      </c>
      <c r="O163" s="1">
        <f t="shared" si="2"/>
        <v>0</v>
      </c>
    </row>
    <row r="164" spans="1:15" x14ac:dyDescent="0.35">
      <c r="A164" t="s">
        <v>226</v>
      </c>
      <c r="B164" t="s">
        <v>13</v>
      </c>
      <c r="C164">
        <v>76</v>
      </c>
      <c r="D164" t="str">
        <f>IF(Table1[[#This Row],[Age]]&lt;=4, "Toddler (0-4)",
IF(Table1[[#This Row],[Age]]&lt;=12, "Child (5-12)",
IF(Table1[[#This Row],[Age]]&lt;=19, "Adolescent (13-19)",
IF(Table1[[#This Row],[Age]]&lt;=35, "Young adult (20-35)",
IF(Table1[[#This Row],[Age]]&lt;=59, "Adult (36-59)", "Elderly (60-90)")))))</f>
        <v>Elderly (60-90)</v>
      </c>
      <c r="E164" t="s">
        <v>14</v>
      </c>
      <c r="F164">
        <v>12</v>
      </c>
      <c r="G164" t="str">
        <f>IF(Table1[[#This Row],[Admission_Days]]&lt;=5, "Immediate (1-5)",
IF(Table1[[#This Row],[Admission_Days]]&lt;=10, "Short-term (6-10)",
IF(Table1[[#This Row],[Admission_Days]]&lt;=15, "Medium-term (11-15)", "Long-term (16-20)")))</f>
        <v>Medium-term (11-15)</v>
      </c>
      <c r="H164" t="s">
        <v>17</v>
      </c>
      <c r="I164">
        <v>5</v>
      </c>
      <c r="J164">
        <v>4</v>
      </c>
      <c r="K164" s="1">
        <v>250000</v>
      </c>
      <c r="L164" t="str">
        <f>IF(Table1[[#This Row],[Surgery_Cost_NGN]]&gt;0, "Yes", "No")</f>
        <v>Yes</v>
      </c>
      <c r="M164" s="1">
        <v>528465</v>
      </c>
      <c r="N164" t="str">
        <f>IF(Table1[[#This Row],[Surgery_Cost_NGN]]&gt;Table1[[#This Row],[Bill_Amount_NGN]], "Anomaly detected", "Valid")</f>
        <v>Valid</v>
      </c>
      <c r="O164" s="1">
        <f t="shared" si="2"/>
        <v>47.306822589953924</v>
      </c>
    </row>
    <row r="165" spans="1:15" x14ac:dyDescent="0.35">
      <c r="A165" t="s">
        <v>227</v>
      </c>
      <c r="B165" t="s">
        <v>13</v>
      </c>
      <c r="C165">
        <v>15</v>
      </c>
      <c r="D165" t="str">
        <f>IF(Table1[[#This Row],[Age]]&lt;=4, "Toddler (0-4)",
IF(Table1[[#This Row],[Age]]&lt;=12, "Child (5-12)",
IF(Table1[[#This Row],[Age]]&lt;=19, "Adolescent (13-19)",
IF(Table1[[#This Row],[Age]]&lt;=35, "Young adult (20-35)",
IF(Table1[[#This Row],[Age]]&lt;=59, "Adult (36-59)", "Elderly (60-90)")))))</f>
        <v>Adolescent (13-19)</v>
      </c>
      <c r="E165" t="s">
        <v>14</v>
      </c>
      <c r="F165">
        <v>18</v>
      </c>
      <c r="G165" t="str">
        <f>IF(Table1[[#This Row],[Admission_Days]]&lt;=5, "Immediate (1-5)",
IF(Table1[[#This Row],[Admission_Days]]&lt;=10, "Short-term (6-10)",
IF(Table1[[#This Row],[Admission_Days]]&lt;=15, "Medium-term (11-15)", "Long-term (16-20)")))</f>
        <v>Long-term (16-20)</v>
      </c>
      <c r="H165" t="s">
        <v>18</v>
      </c>
      <c r="I165">
        <v>1</v>
      </c>
      <c r="J165">
        <v>8</v>
      </c>
      <c r="K165" s="1">
        <v>400000</v>
      </c>
      <c r="L165" t="str">
        <f>IF(Table1[[#This Row],[Surgery_Cost_NGN]]&gt;0, "Yes", "No")</f>
        <v>Yes</v>
      </c>
      <c r="M165" s="1">
        <v>565375</v>
      </c>
      <c r="N165" t="str">
        <f>IF(Table1[[#This Row],[Surgery_Cost_NGN]]&gt;Table1[[#This Row],[Bill_Amount_NGN]], "Anomaly detected", "Valid")</f>
        <v>Valid</v>
      </c>
      <c r="O165" s="1">
        <f t="shared" si="2"/>
        <v>70.749502542560251</v>
      </c>
    </row>
    <row r="166" spans="1:15" x14ac:dyDescent="0.35">
      <c r="A166" t="s">
        <v>228</v>
      </c>
      <c r="B166" t="s">
        <v>13</v>
      </c>
      <c r="C166">
        <v>66</v>
      </c>
      <c r="D166" t="str">
        <f>IF(Table1[[#This Row],[Age]]&lt;=4, "Toddler (0-4)",
IF(Table1[[#This Row],[Age]]&lt;=12, "Child (5-12)",
IF(Table1[[#This Row],[Age]]&lt;=19, "Adolescent (13-19)",
IF(Table1[[#This Row],[Age]]&lt;=35, "Young adult (20-35)",
IF(Table1[[#This Row],[Age]]&lt;=59, "Adult (36-59)", "Elderly (60-90)")))))</f>
        <v>Elderly (60-90)</v>
      </c>
      <c r="E166" t="s">
        <v>14</v>
      </c>
      <c r="F166">
        <v>14</v>
      </c>
      <c r="G166" t="str">
        <f>IF(Table1[[#This Row],[Admission_Days]]&lt;=5, "Immediate (1-5)",
IF(Table1[[#This Row],[Admission_Days]]&lt;=10, "Short-term (6-10)",
IF(Table1[[#This Row],[Admission_Days]]&lt;=15, "Medium-term (11-15)", "Long-term (16-20)")))</f>
        <v>Medium-term (11-15)</v>
      </c>
      <c r="H166" t="s">
        <v>21</v>
      </c>
      <c r="I166">
        <v>3</v>
      </c>
      <c r="J166">
        <v>1</v>
      </c>
      <c r="K166" s="1">
        <v>0</v>
      </c>
      <c r="L166" t="str">
        <f>IF(Table1[[#This Row],[Surgery_Cost_NGN]]&gt;0, "Yes", "No")</f>
        <v>No</v>
      </c>
      <c r="M166" s="1">
        <v>232867</v>
      </c>
      <c r="N166" t="str">
        <f>IF(Table1[[#This Row],[Surgery_Cost_NGN]]&gt;Table1[[#This Row],[Bill_Amount_NGN]], "Anomaly detected", "Valid")</f>
        <v>Valid</v>
      </c>
      <c r="O166" s="1">
        <f t="shared" si="2"/>
        <v>0</v>
      </c>
    </row>
    <row r="167" spans="1:15" x14ac:dyDescent="0.35">
      <c r="A167" t="s">
        <v>229</v>
      </c>
      <c r="B167" t="s">
        <v>10</v>
      </c>
      <c r="C167">
        <v>32</v>
      </c>
      <c r="D167" t="str">
        <f>IF(Table1[[#This Row],[Age]]&lt;=4, "Toddler (0-4)",
IF(Table1[[#This Row],[Age]]&lt;=12, "Child (5-12)",
IF(Table1[[#This Row],[Age]]&lt;=19, "Adolescent (13-19)",
IF(Table1[[#This Row],[Age]]&lt;=35, "Young adult (20-35)",
IF(Table1[[#This Row],[Age]]&lt;=59, "Adult (36-59)", "Elderly (60-90)")))))</f>
        <v>Young adult (20-35)</v>
      </c>
      <c r="E167" t="s">
        <v>11</v>
      </c>
      <c r="F167">
        <v>11</v>
      </c>
      <c r="G167" t="str">
        <f>IF(Table1[[#This Row],[Admission_Days]]&lt;=5, "Immediate (1-5)",
IF(Table1[[#This Row],[Admission_Days]]&lt;=10, "Short-term (6-10)",
IF(Table1[[#This Row],[Admission_Days]]&lt;=15, "Medium-term (11-15)", "Long-term (16-20)")))</f>
        <v>Medium-term (11-15)</v>
      </c>
      <c r="H167" t="s">
        <v>15</v>
      </c>
      <c r="I167">
        <v>1</v>
      </c>
      <c r="J167">
        <v>9</v>
      </c>
      <c r="K167" s="1">
        <v>0</v>
      </c>
      <c r="L167" t="str">
        <f>IF(Table1[[#This Row],[Surgery_Cost_NGN]]&gt;0, "Yes", "No")</f>
        <v>No</v>
      </c>
      <c r="M167" s="1">
        <v>219479</v>
      </c>
      <c r="N167" t="str">
        <f>IF(Table1[[#This Row],[Surgery_Cost_NGN]]&gt;Table1[[#This Row],[Bill_Amount_NGN]], "Anomaly detected", "Valid")</f>
        <v>Valid</v>
      </c>
      <c r="O167" s="1">
        <f t="shared" si="2"/>
        <v>0</v>
      </c>
    </row>
    <row r="168" spans="1:15" x14ac:dyDescent="0.35">
      <c r="A168" t="s">
        <v>230</v>
      </c>
      <c r="B168" t="s">
        <v>13</v>
      </c>
      <c r="C168">
        <v>63</v>
      </c>
      <c r="D168" t="str">
        <f>IF(Table1[[#This Row],[Age]]&lt;=4, "Toddler (0-4)",
IF(Table1[[#This Row],[Age]]&lt;=12, "Child (5-12)",
IF(Table1[[#This Row],[Age]]&lt;=19, "Adolescent (13-19)",
IF(Table1[[#This Row],[Age]]&lt;=35, "Young adult (20-35)",
IF(Table1[[#This Row],[Age]]&lt;=59, "Adult (36-59)", "Elderly (60-90)")))))</f>
        <v>Elderly (60-90)</v>
      </c>
      <c r="E168" t="s">
        <v>20</v>
      </c>
      <c r="F168">
        <v>9</v>
      </c>
      <c r="G168" t="str">
        <f>IF(Table1[[#This Row],[Admission_Days]]&lt;=5, "Immediate (1-5)",
IF(Table1[[#This Row],[Admission_Days]]&lt;=10, "Short-term (6-10)",
IF(Table1[[#This Row],[Admission_Days]]&lt;=15, "Medium-term (11-15)", "Long-term (16-20)")))</f>
        <v>Short-term (6-10)</v>
      </c>
      <c r="H168" t="s">
        <v>18</v>
      </c>
      <c r="I168">
        <v>5</v>
      </c>
      <c r="J168">
        <v>6</v>
      </c>
      <c r="K168" s="1">
        <v>400000</v>
      </c>
      <c r="L168" t="str">
        <f>IF(Table1[[#This Row],[Surgery_Cost_NGN]]&gt;0, "Yes", "No")</f>
        <v>Yes</v>
      </c>
      <c r="M168" s="1">
        <v>660497</v>
      </c>
      <c r="N168" t="str">
        <f>IF(Table1[[#This Row],[Surgery_Cost_NGN]]&gt;Table1[[#This Row],[Bill_Amount_NGN]], "Anomaly detected", "Valid")</f>
        <v>Valid</v>
      </c>
      <c r="O168" s="1">
        <f t="shared" si="2"/>
        <v>60.560456746964789</v>
      </c>
    </row>
    <row r="169" spans="1:15" x14ac:dyDescent="0.35">
      <c r="A169" t="s">
        <v>231</v>
      </c>
      <c r="B169" t="s">
        <v>10</v>
      </c>
      <c r="C169">
        <v>51</v>
      </c>
      <c r="D169" t="str">
        <f>IF(Table1[[#This Row],[Age]]&lt;=4, "Toddler (0-4)",
IF(Table1[[#This Row],[Age]]&lt;=12, "Child (5-12)",
IF(Table1[[#This Row],[Age]]&lt;=19, "Adolescent (13-19)",
IF(Table1[[#This Row],[Age]]&lt;=35, "Young adult (20-35)",
IF(Table1[[#This Row],[Age]]&lt;=59, "Adult (36-59)", "Elderly (60-90)")))))</f>
        <v>Adult (36-59)</v>
      </c>
      <c r="E169" t="s">
        <v>11</v>
      </c>
      <c r="F169">
        <v>2</v>
      </c>
      <c r="G169" t="str">
        <f>IF(Table1[[#This Row],[Admission_Days]]&lt;=5, "Immediate (1-5)",
IF(Table1[[#This Row],[Admission_Days]]&lt;=10, "Short-term (6-10)",
IF(Table1[[#This Row],[Admission_Days]]&lt;=15, "Medium-term (11-15)", "Long-term (16-20)")))</f>
        <v>Immediate (1-5)</v>
      </c>
      <c r="H169" t="s">
        <v>18</v>
      </c>
      <c r="I169">
        <v>4</v>
      </c>
      <c r="J169">
        <v>4</v>
      </c>
      <c r="K169" s="1">
        <v>150000</v>
      </c>
      <c r="L169" t="str">
        <f>IF(Table1[[#This Row],[Surgery_Cost_NGN]]&gt;0, "Yes", "No")</f>
        <v>Yes</v>
      </c>
      <c r="M169" s="1">
        <v>269342</v>
      </c>
      <c r="N169" t="str">
        <f>IF(Table1[[#This Row],[Surgery_Cost_NGN]]&gt;Table1[[#This Row],[Bill_Amount_NGN]], "Anomaly detected", "Valid")</f>
        <v>Valid</v>
      </c>
      <c r="O169" s="1">
        <f t="shared" si="2"/>
        <v>55.69127726088022</v>
      </c>
    </row>
    <row r="170" spans="1:15" x14ac:dyDescent="0.35">
      <c r="A170" t="s">
        <v>232</v>
      </c>
      <c r="B170" t="s">
        <v>10</v>
      </c>
      <c r="C170">
        <v>25</v>
      </c>
      <c r="D170" t="str">
        <f>IF(Table1[[#This Row],[Age]]&lt;=4, "Toddler (0-4)",
IF(Table1[[#This Row],[Age]]&lt;=12, "Child (5-12)",
IF(Table1[[#This Row],[Age]]&lt;=19, "Adolescent (13-19)",
IF(Table1[[#This Row],[Age]]&lt;=35, "Young adult (20-35)",
IF(Table1[[#This Row],[Age]]&lt;=59, "Adult (36-59)", "Elderly (60-90)")))))</f>
        <v>Young adult (20-35)</v>
      </c>
      <c r="E170" t="s">
        <v>20</v>
      </c>
      <c r="F170">
        <v>12</v>
      </c>
      <c r="G170" t="str">
        <f>IF(Table1[[#This Row],[Admission_Days]]&lt;=5, "Immediate (1-5)",
IF(Table1[[#This Row],[Admission_Days]]&lt;=10, "Short-term (6-10)",
IF(Table1[[#This Row],[Admission_Days]]&lt;=15, "Medium-term (11-15)", "Long-term (16-20)")))</f>
        <v>Medium-term (11-15)</v>
      </c>
      <c r="H170" t="s">
        <v>15</v>
      </c>
      <c r="I170">
        <v>4</v>
      </c>
      <c r="J170">
        <v>9</v>
      </c>
      <c r="K170" s="1">
        <v>250000</v>
      </c>
      <c r="L170" t="str">
        <f>IF(Table1[[#This Row],[Surgery_Cost_NGN]]&gt;0, "Yes", "No")</f>
        <v>Yes</v>
      </c>
      <c r="M170" s="1">
        <v>507332</v>
      </c>
      <c r="N170" t="str">
        <f>IF(Table1[[#This Row],[Surgery_Cost_NGN]]&gt;Table1[[#This Row],[Bill_Amount_NGN]], "Anomaly detected", "Valid")</f>
        <v>Valid</v>
      </c>
      <c r="O170" s="1">
        <f t="shared" si="2"/>
        <v>49.277396261225391</v>
      </c>
    </row>
    <row r="171" spans="1:15" x14ac:dyDescent="0.35">
      <c r="A171" t="s">
        <v>233</v>
      </c>
      <c r="B171" t="s">
        <v>13</v>
      </c>
      <c r="C171">
        <v>58</v>
      </c>
      <c r="D171" t="str">
        <f>IF(Table1[[#This Row],[Age]]&lt;=4, "Toddler (0-4)",
IF(Table1[[#This Row],[Age]]&lt;=12, "Child (5-12)",
IF(Table1[[#This Row],[Age]]&lt;=19, "Adolescent (13-19)",
IF(Table1[[#This Row],[Age]]&lt;=35, "Young adult (20-35)",
IF(Table1[[#This Row],[Age]]&lt;=59, "Adult (36-59)", "Elderly (60-90)")))))</f>
        <v>Adult (36-59)</v>
      </c>
      <c r="E171" t="s">
        <v>11</v>
      </c>
      <c r="F171">
        <v>3</v>
      </c>
      <c r="G171" t="str">
        <f>IF(Table1[[#This Row],[Admission_Days]]&lt;=5, "Immediate (1-5)",
IF(Table1[[#This Row],[Admission_Days]]&lt;=10, "Short-term (6-10)",
IF(Table1[[#This Row],[Admission_Days]]&lt;=15, "Medium-term (11-15)", "Long-term (16-20)")))</f>
        <v>Immediate (1-5)</v>
      </c>
      <c r="H171" t="s">
        <v>12</v>
      </c>
      <c r="I171">
        <v>3</v>
      </c>
      <c r="J171">
        <v>5</v>
      </c>
      <c r="K171" s="1">
        <v>0</v>
      </c>
      <c r="L171" t="str">
        <f>IF(Table1[[#This Row],[Surgery_Cost_NGN]]&gt;0, "Yes", "No")</f>
        <v>No</v>
      </c>
      <c r="M171" s="1">
        <v>126254</v>
      </c>
      <c r="N171" t="str">
        <f>IF(Table1[[#This Row],[Surgery_Cost_NGN]]&gt;Table1[[#This Row],[Bill_Amount_NGN]], "Anomaly detected", "Valid")</f>
        <v>Valid</v>
      </c>
      <c r="O171" s="1">
        <f t="shared" si="2"/>
        <v>0</v>
      </c>
    </row>
    <row r="172" spans="1:15" x14ac:dyDescent="0.35">
      <c r="A172" t="s">
        <v>234</v>
      </c>
      <c r="B172" t="s">
        <v>13</v>
      </c>
      <c r="C172">
        <v>63</v>
      </c>
      <c r="D172" t="str">
        <f>IF(Table1[[#This Row],[Age]]&lt;=4, "Toddler (0-4)",
IF(Table1[[#This Row],[Age]]&lt;=12, "Child (5-12)",
IF(Table1[[#This Row],[Age]]&lt;=19, "Adolescent (13-19)",
IF(Table1[[#This Row],[Age]]&lt;=35, "Young adult (20-35)",
IF(Table1[[#This Row],[Age]]&lt;=59, "Adult (36-59)", "Elderly (60-90)")))))</f>
        <v>Elderly (60-90)</v>
      </c>
      <c r="E172" t="s">
        <v>11</v>
      </c>
      <c r="F172">
        <v>3</v>
      </c>
      <c r="G172" t="str">
        <f>IF(Table1[[#This Row],[Admission_Days]]&lt;=5, "Immediate (1-5)",
IF(Table1[[#This Row],[Admission_Days]]&lt;=10, "Short-term (6-10)",
IF(Table1[[#This Row],[Admission_Days]]&lt;=15, "Medium-term (11-15)", "Long-term (16-20)")))</f>
        <v>Immediate (1-5)</v>
      </c>
      <c r="H172" t="s">
        <v>17</v>
      </c>
      <c r="I172">
        <v>1</v>
      </c>
      <c r="J172">
        <v>5</v>
      </c>
      <c r="K172" s="1">
        <v>0</v>
      </c>
      <c r="L172" t="str">
        <f>IF(Table1[[#This Row],[Surgery_Cost_NGN]]&gt;0, "Yes", "No")</f>
        <v>No</v>
      </c>
      <c r="M172" s="1">
        <v>74386</v>
      </c>
      <c r="N172" t="str">
        <f>IF(Table1[[#This Row],[Surgery_Cost_NGN]]&gt;Table1[[#This Row],[Bill_Amount_NGN]], "Anomaly detected", "Valid")</f>
        <v>Valid</v>
      </c>
      <c r="O172" s="1">
        <f t="shared" si="2"/>
        <v>0</v>
      </c>
    </row>
    <row r="173" spans="1:15" x14ac:dyDescent="0.35">
      <c r="A173" t="s">
        <v>235</v>
      </c>
      <c r="B173" t="s">
        <v>10</v>
      </c>
      <c r="C173">
        <v>62</v>
      </c>
      <c r="D173" t="str">
        <f>IF(Table1[[#This Row],[Age]]&lt;=4, "Toddler (0-4)",
IF(Table1[[#This Row],[Age]]&lt;=12, "Child (5-12)",
IF(Table1[[#This Row],[Age]]&lt;=19, "Adolescent (13-19)",
IF(Table1[[#This Row],[Age]]&lt;=35, "Young adult (20-35)",
IF(Table1[[#This Row],[Age]]&lt;=59, "Adult (36-59)", "Elderly (60-90)")))))</f>
        <v>Elderly (60-90)</v>
      </c>
      <c r="E173" t="s">
        <v>19</v>
      </c>
      <c r="F173">
        <v>1</v>
      </c>
      <c r="G173" t="str">
        <f>IF(Table1[[#This Row],[Admission_Days]]&lt;=5, "Immediate (1-5)",
IF(Table1[[#This Row],[Admission_Days]]&lt;=10, "Short-term (6-10)",
IF(Table1[[#This Row],[Admission_Days]]&lt;=15, "Medium-term (11-15)", "Long-term (16-20)")))</f>
        <v>Immediate (1-5)</v>
      </c>
      <c r="H173" t="s">
        <v>12</v>
      </c>
      <c r="I173">
        <v>4</v>
      </c>
      <c r="J173">
        <v>5</v>
      </c>
      <c r="K173" s="1">
        <v>400000</v>
      </c>
      <c r="L173" t="str">
        <f>IF(Table1[[#This Row],[Surgery_Cost_NGN]]&gt;0, "Yes", "No")</f>
        <v>Yes</v>
      </c>
      <c r="M173" s="1">
        <v>477740</v>
      </c>
      <c r="N173" t="str">
        <f>IF(Table1[[#This Row],[Surgery_Cost_NGN]]&gt;Table1[[#This Row],[Bill_Amount_NGN]], "Anomaly detected", "Valid")</f>
        <v>Valid</v>
      </c>
      <c r="O173" s="1">
        <f t="shared" si="2"/>
        <v>83.727550550508639</v>
      </c>
    </row>
    <row r="174" spans="1:15" x14ac:dyDescent="0.35">
      <c r="A174" t="s">
        <v>236</v>
      </c>
      <c r="B174" t="s">
        <v>10</v>
      </c>
      <c r="C174">
        <v>22</v>
      </c>
      <c r="D174" t="str">
        <f>IF(Table1[[#This Row],[Age]]&lt;=4, "Toddler (0-4)",
IF(Table1[[#This Row],[Age]]&lt;=12, "Child (5-12)",
IF(Table1[[#This Row],[Age]]&lt;=19, "Adolescent (13-19)",
IF(Table1[[#This Row],[Age]]&lt;=35, "Young adult (20-35)",
IF(Table1[[#This Row],[Age]]&lt;=59, "Adult (36-59)", "Elderly (60-90)")))))</f>
        <v>Young adult (20-35)</v>
      </c>
      <c r="E174" t="s">
        <v>16</v>
      </c>
      <c r="F174">
        <v>8</v>
      </c>
      <c r="G174" t="str">
        <f>IF(Table1[[#This Row],[Admission_Days]]&lt;=5, "Immediate (1-5)",
IF(Table1[[#This Row],[Admission_Days]]&lt;=10, "Short-term (6-10)",
IF(Table1[[#This Row],[Admission_Days]]&lt;=15, "Medium-term (11-15)", "Long-term (16-20)")))</f>
        <v>Short-term (6-10)</v>
      </c>
      <c r="H174" t="s">
        <v>21</v>
      </c>
      <c r="I174">
        <v>5</v>
      </c>
      <c r="J174">
        <v>1</v>
      </c>
      <c r="K174" s="1">
        <v>400000</v>
      </c>
      <c r="L174" t="str">
        <f>IF(Table1[[#This Row],[Surgery_Cost_NGN]]&gt;0, "Yes", "No")</f>
        <v>Yes</v>
      </c>
      <c r="M174" s="1">
        <v>520603</v>
      </c>
      <c r="N174" t="str">
        <f>IF(Table1[[#This Row],[Surgery_Cost_NGN]]&gt;Table1[[#This Row],[Bill_Amount_NGN]], "Anomaly detected", "Valid")</f>
        <v>Valid</v>
      </c>
      <c r="O174" s="1">
        <f t="shared" si="2"/>
        <v>76.833979058899004</v>
      </c>
    </row>
    <row r="175" spans="1:15" x14ac:dyDescent="0.35">
      <c r="A175" t="s">
        <v>237</v>
      </c>
      <c r="B175" t="s">
        <v>13</v>
      </c>
      <c r="C175">
        <v>58</v>
      </c>
      <c r="D175" t="str">
        <f>IF(Table1[[#This Row],[Age]]&lt;=4, "Toddler (0-4)",
IF(Table1[[#This Row],[Age]]&lt;=12, "Child (5-12)",
IF(Table1[[#This Row],[Age]]&lt;=19, "Adolescent (13-19)",
IF(Table1[[#This Row],[Age]]&lt;=35, "Young adult (20-35)",
IF(Table1[[#This Row],[Age]]&lt;=59, "Adult (36-59)", "Elderly (60-90)")))))</f>
        <v>Adult (36-59)</v>
      </c>
      <c r="E175" t="s">
        <v>11</v>
      </c>
      <c r="F175">
        <v>8</v>
      </c>
      <c r="G175" t="str">
        <f>IF(Table1[[#This Row],[Admission_Days]]&lt;=5, "Immediate (1-5)",
IF(Table1[[#This Row],[Admission_Days]]&lt;=10, "Short-term (6-10)",
IF(Table1[[#This Row],[Admission_Days]]&lt;=15, "Medium-term (11-15)", "Long-term (16-20)")))</f>
        <v>Short-term (6-10)</v>
      </c>
      <c r="H175" t="s">
        <v>15</v>
      </c>
      <c r="I175">
        <v>2</v>
      </c>
      <c r="J175">
        <v>1</v>
      </c>
      <c r="K175" s="1">
        <v>0</v>
      </c>
      <c r="L175" t="str">
        <f>IF(Table1[[#This Row],[Surgery_Cost_NGN]]&gt;0, "Yes", "No")</f>
        <v>No</v>
      </c>
      <c r="M175" s="1">
        <v>133925</v>
      </c>
      <c r="N175" t="str">
        <f>IF(Table1[[#This Row],[Surgery_Cost_NGN]]&gt;Table1[[#This Row],[Bill_Amount_NGN]], "Anomaly detected", "Valid")</f>
        <v>Valid</v>
      </c>
      <c r="O175" s="1">
        <f t="shared" si="2"/>
        <v>0</v>
      </c>
    </row>
    <row r="176" spans="1:15" x14ac:dyDescent="0.35">
      <c r="A176" t="s">
        <v>238</v>
      </c>
      <c r="B176" t="s">
        <v>13</v>
      </c>
      <c r="C176">
        <v>58</v>
      </c>
      <c r="D176" t="str">
        <f>IF(Table1[[#This Row],[Age]]&lt;=4, "Toddler (0-4)",
IF(Table1[[#This Row],[Age]]&lt;=12, "Child (5-12)",
IF(Table1[[#This Row],[Age]]&lt;=19, "Adolescent (13-19)",
IF(Table1[[#This Row],[Age]]&lt;=35, "Young adult (20-35)",
IF(Table1[[#This Row],[Age]]&lt;=59, "Adult (36-59)", "Elderly (60-90)")))))</f>
        <v>Adult (36-59)</v>
      </c>
      <c r="E176" t="s">
        <v>19</v>
      </c>
      <c r="F176">
        <v>11</v>
      </c>
      <c r="G176" t="str">
        <f>IF(Table1[[#This Row],[Admission_Days]]&lt;=5, "Immediate (1-5)",
IF(Table1[[#This Row],[Admission_Days]]&lt;=10, "Short-term (6-10)",
IF(Table1[[#This Row],[Admission_Days]]&lt;=15, "Medium-term (11-15)", "Long-term (16-20)")))</f>
        <v>Medium-term (11-15)</v>
      </c>
      <c r="H176" t="s">
        <v>12</v>
      </c>
      <c r="I176">
        <v>0</v>
      </c>
      <c r="J176">
        <v>8</v>
      </c>
      <c r="K176" s="1">
        <v>600000</v>
      </c>
      <c r="L176" t="str">
        <f>IF(Table1[[#This Row],[Surgery_Cost_NGN]]&gt;0, "Yes", "No")</f>
        <v>Yes</v>
      </c>
      <c r="M176" s="1">
        <v>764974</v>
      </c>
      <c r="N176" t="str">
        <f>IF(Table1[[#This Row],[Surgery_Cost_NGN]]&gt;Table1[[#This Row],[Bill_Amount_NGN]], "Anomaly detected", "Valid")</f>
        <v>Valid</v>
      </c>
      <c r="O176" s="1">
        <f t="shared" si="2"/>
        <v>78.434038281039619</v>
      </c>
    </row>
    <row r="177" spans="1:15" x14ac:dyDescent="0.35">
      <c r="A177" t="s">
        <v>239</v>
      </c>
      <c r="B177" t="s">
        <v>13</v>
      </c>
      <c r="C177">
        <v>49</v>
      </c>
      <c r="D177" t="str">
        <f>IF(Table1[[#This Row],[Age]]&lt;=4, "Toddler (0-4)",
IF(Table1[[#This Row],[Age]]&lt;=12, "Child (5-12)",
IF(Table1[[#This Row],[Age]]&lt;=19, "Adolescent (13-19)",
IF(Table1[[#This Row],[Age]]&lt;=35, "Young adult (20-35)",
IF(Table1[[#This Row],[Age]]&lt;=59, "Adult (36-59)", "Elderly (60-90)")))))</f>
        <v>Adult (36-59)</v>
      </c>
      <c r="E177" t="s">
        <v>22</v>
      </c>
      <c r="F177">
        <v>9</v>
      </c>
      <c r="G177" t="str">
        <f>IF(Table1[[#This Row],[Admission_Days]]&lt;=5, "Immediate (1-5)",
IF(Table1[[#This Row],[Admission_Days]]&lt;=10, "Short-term (6-10)",
IF(Table1[[#This Row],[Admission_Days]]&lt;=15, "Medium-term (11-15)", "Long-term (16-20)")))</f>
        <v>Short-term (6-10)</v>
      </c>
      <c r="H177" t="s">
        <v>18</v>
      </c>
      <c r="I177">
        <v>0</v>
      </c>
      <c r="J177">
        <v>8</v>
      </c>
      <c r="K177" s="1">
        <v>150000</v>
      </c>
      <c r="L177" t="str">
        <f>IF(Table1[[#This Row],[Surgery_Cost_NGN]]&gt;0, "Yes", "No")</f>
        <v>Yes</v>
      </c>
      <c r="M177" s="1">
        <v>294551</v>
      </c>
      <c r="N177" t="str">
        <f>IF(Table1[[#This Row],[Surgery_Cost_NGN]]&gt;Table1[[#This Row],[Bill_Amount_NGN]], "Anomaly detected", "Valid")</f>
        <v>Valid</v>
      </c>
      <c r="O177" s="1">
        <f t="shared" si="2"/>
        <v>50.924967153396182</v>
      </c>
    </row>
    <row r="178" spans="1:15" x14ac:dyDescent="0.35">
      <c r="A178" t="s">
        <v>240</v>
      </c>
      <c r="B178" t="s">
        <v>10</v>
      </c>
      <c r="C178">
        <v>52</v>
      </c>
      <c r="D178" t="str">
        <f>IF(Table1[[#This Row],[Age]]&lt;=4, "Toddler (0-4)",
IF(Table1[[#This Row],[Age]]&lt;=12, "Child (5-12)",
IF(Table1[[#This Row],[Age]]&lt;=19, "Adolescent (13-19)",
IF(Table1[[#This Row],[Age]]&lt;=35, "Young adult (20-35)",
IF(Table1[[#This Row],[Age]]&lt;=59, "Adult (36-59)", "Elderly (60-90)")))))</f>
        <v>Adult (36-59)</v>
      </c>
      <c r="E178" t="s">
        <v>16</v>
      </c>
      <c r="F178">
        <v>5</v>
      </c>
      <c r="G178" t="str">
        <f>IF(Table1[[#This Row],[Admission_Days]]&lt;=5, "Immediate (1-5)",
IF(Table1[[#This Row],[Admission_Days]]&lt;=10, "Short-term (6-10)",
IF(Table1[[#This Row],[Admission_Days]]&lt;=15, "Medium-term (11-15)", "Long-term (16-20)")))</f>
        <v>Immediate (1-5)</v>
      </c>
      <c r="H178" t="s">
        <v>21</v>
      </c>
      <c r="I178">
        <v>0</v>
      </c>
      <c r="J178">
        <v>6</v>
      </c>
      <c r="K178" s="1">
        <v>0</v>
      </c>
      <c r="L178" t="str">
        <f>IF(Table1[[#This Row],[Surgery_Cost_NGN]]&gt;0, "Yes", "No")</f>
        <v>No</v>
      </c>
      <c r="M178" s="1">
        <v>77607</v>
      </c>
      <c r="N178" t="str">
        <f>IF(Table1[[#This Row],[Surgery_Cost_NGN]]&gt;Table1[[#This Row],[Bill_Amount_NGN]], "Anomaly detected", "Valid")</f>
        <v>Valid</v>
      </c>
      <c r="O178" s="1">
        <f t="shared" si="2"/>
        <v>0</v>
      </c>
    </row>
    <row r="179" spans="1:15" x14ac:dyDescent="0.35">
      <c r="A179" t="s">
        <v>241</v>
      </c>
      <c r="B179" t="s">
        <v>10</v>
      </c>
      <c r="C179">
        <v>42</v>
      </c>
      <c r="D179" t="str">
        <f>IF(Table1[[#This Row],[Age]]&lt;=4, "Toddler (0-4)",
IF(Table1[[#This Row],[Age]]&lt;=12, "Child (5-12)",
IF(Table1[[#This Row],[Age]]&lt;=19, "Adolescent (13-19)",
IF(Table1[[#This Row],[Age]]&lt;=35, "Young adult (20-35)",
IF(Table1[[#This Row],[Age]]&lt;=59, "Adult (36-59)", "Elderly (60-90)")))))</f>
        <v>Adult (36-59)</v>
      </c>
      <c r="E179" t="s">
        <v>11</v>
      </c>
      <c r="F179">
        <v>14</v>
      </c>
      <c r="G179" t="str">
        <f>IF(Table1[[#This Row],[Admission_Days]]&lt;=5, "Immediate (1-5)",
IF(Table1[[#This Row],[Admission_Days]]&lt;=10, "Short-term (6-10)",
IF(Table1[[#This Row],[Admission_Days]]&lt;=15, "Medium-term (11-15)", "Long-term (16-20)")))</f>
        <v>Medium-term (11-15)</v>
      </c>
      <c r="H179" t="s">
        <v>21</v>
      </c>
      <c r="I179">
        <v>1</v>
      </c>
      <c r="J179">
        <v>4</v>
      </c>
      <c r="K179" s="1">
        <v>400000</v>
      </c>
      <c r="L179" t="str">
        <f>IF(Table1[[#This Row],[Surgery_Cost_NGN]]&gt;0, "Yes", "No")</f>
        <v>Yes</v>
      </c>
      <c r="M179" s="1">
        <v>507343</v>
      </c>
      <c r="N179" t="str">
        <f>IF(Table1[[#This Row],[Surgery_Cost_NGN]]&gt;Table1[[#This Row],[Bill_Amount_NGN]], "Anomaly detected", "Valid")</f>
        <v>Valid</v>
      </c>
      <c r="O179" s="1">
        <f t="shared" si="2"/>
        <v>78.84212455873049</v>
      </c>
    </row>
    <row r="180" spans="1:15" x14ac:dyDescent="0.35">
      <c r="A180" t="s">
        <v>242</v>
      </c>
      <c r="B180" t="s">
        <v>10</v>
      </c>
      <c r="C180">
        <v>70</v>
      </c>
      <c r="D180" t="str">
        <f>IF(Table1[[#This Row],[Age]]&lt;=4, "Toddler (0-4)",
IF(Table1[[#This Row],[Age]]&lt;=12, "Child (5-12)",
IF(Table1[[#This Row],[Age]]&lt;=19, "Adolescent (13-19)",
IF(Table1[[#This Row],[Age]]&lt;=35, "Young adult (20-35)",
IF(Table1[[#This Row],[Age]]&lt;=59, "Adult (36-59)", "Elderly (60-90)")))))</f>
        <v>Elderly (60-90)</v>
      </c>
      <c r="E180" t="s">
        <v>14</v>
      </c>
      <c r="F180">
        <v>3</v>
      </c>
      <c r="G180" t="str">
        <f>IF(Table1[[#This Row],[Admission_Days]]&lt;=5, "Immediate (1-5)",
IF(Table1[[#This Row],[Admission_Days]]&lt;=10, "Short-term (6-10)",
IF(Table1[[#This Row],[Admission_Days]]&lt;=15, "Medium-term (11-15)", "Long-term (16-20)")))</f>
        <v>Immediate (1-5)</v>
      </c>
      <c r="H180" t="s">
        <v>12</v>
      </c>
      <c r="I180">
        <v>3</v>
      </c>
      <c r="J180">
        <v>2</v>
      </c>
      <c r="K180" s="1">
        <v>0</v>
      </c>
      <c r="L180" t="str">
        <f>IF(Table1[[#This Row],[Surgery_Cost_NGN]]&gt;0, "Yes", "No")</f>
        <v>No</v>
      </c>
      <c r="M180" s="1">
        <v>108431</v>
      </c>
      <c r="N180" t="str">
        <f>IF(Table1[[#This Row],[Surgery_Cost_NGN]]&gt;Table1[[#This Row],[Bill_Amount_NGN]], "Anomaly detected", "Valid")</f>
        <v>Valid</v>
      </c>
      <c r="O180" s="1">
        <f t="shared" si="2"/>
        <v>0</v>
      </c>
    </row>
    <row r="181" spans="1:15" x14ac:dyDescent="0.35">
      <c r="A181" t="s">
        <v>243</v>
      </c>
      <c r="B181" t="s">
        <v>10</v>
      </c>
      <c r="C181">
        <v>15</v>
      </c>
      <c r="D181" t="str">
        <f>IF(Table1[[#This Row],[Age]]&lt;=4, "Toddler (0-4)",
IF(Table1[[#This Row],[Age]]&lt;=12, "Child (5-12)",
IF(Table1[[#This Row],[Age]]&lt;=19, "Adolescent (13-19)",
IF(Table1[[#This Row],[Age]]&lt;=35, "Young adult (20-35)",
IF(Table1[[#This Row],[Age]]&lt;=59, "Adult (36-59)", "Elderly (60-90)")))))</f>
        <v>Adolescent (13-19)</v>
      </c>
      <c r="E181" t="s">
        <v>22</v>
      </c>
      <c r="F181">
        <v>5</v>
      </c>
      <c r="G181" t="str">
        <f>IF(Table1[[#This Row],[Admission_Days]]&lt;=5, "Immediate (1-5)",
IF(Table1[[#This Row],[Admission_Days]]&lt;=10, "Short-term (6-10)",
IF(Table1[[#This Row],[Admission_Days]]&lt;=15, "Medium-term (11-15)", "Long-term (16-20)")))</f>
        <v>Immediate (1-5)</v>
      </c>
      <c r="H181" t="s">
        <v>12</v>
      </c>
      <c r="I181">
        <v>4</v>
      </c>
      <c r="J181">
        <v>2</v>
      </c>
      <c r="K181" s="1">
        <v>0</v>
      </c>
      <c r="L181" t="str">
        <f>IF(Table1[[#This Row],[Surgery_Cost_NGN]]&gt;0, "Yes", "No")</f>
        <v>No</v>
      </c>
      <c r="M181" s="1">
        <v>108569</v>
      </c>
      <c r="N181" t="str">
        <f>IF(Table1[[#This Row],[Surgery_Cost_NGN]]&gt;Table1[[#This Row],[Bill_Amount_NGN]], "Anomaly detected", "Valid")</f>
        <v>Valid</v>
      </c>
      <c r="O181" s="1">
        <f t="shared" si="2"/>
        <v>0</v>
      </c>
    </row>
    <row r="182" spans="1:15" x14ac:dyDescent="0.35">
      <c r="A182" t="s">
        <v>244</v>
      </c>
      <c r="B182" t="s">
        <v>10</v>
      </c>
      <c r="C182">
        <v>54</v>
      </c>
      <c r="D182" t="str">
        <f>IF(Table1[[#This Row],[Age]]&lt;=4, "Toddler (0-4)",
IF(Table1[[#This Row],[Age]]&lt;=12, "Child (5-12)",
IF(Table1[[#This Row],[Age]]&lt;=19, "Adolescent (13-19)",
IF(Table1[[#This Row],[Age]]&lt;=35, "Young adult (20-35)",
IF(Table1[[#This Row],[Age]]&lt;=59, "Adult (36-59)", "Elderly (60-90)")))))</f>
        <v>Adult (36-59)</v>
      </c>
      <c r="E182" t="s">
        <v>22</v>
      </c>
      <c r="F182">
        <v>5</v>
      </c>
      <c r="G182" t="str">
        <f>IF(Table1[[#This Row],[Admission_Days]]&lt;=5, "Immediate (1-5)",
IF(Table1[[#This Row],[Admission_Days]]&lt;=10, "Short-term (6-10)",
IF(Table1[[#This Row],[Admission_Days]]&lt;=15, "Medium-term (11-15)", "Long-term (16-20)")))</f>
        <v>Immediate (1-5)</v>
      </c>
      <c r="H182" t="s">
        <v>15</v>
      </c>
      <c r="I182">
        <v>2</v>
      </c>
      <c r="J182">
        <v>9</v>
      </c>
      <c r="K182" s="1">
        <v>0</v>
      </c>
      <c r="L182" t="str">
        <f>IF(Table1[[#This Row],[Surgery_Cost_NGN]]&gt;0, "Yes", "No")</f>
        <v>No</v>
      </c>
      <c r="M182" s="1">
        <v>165882</v>
      </c>
      <c r="N182" t="str">
        <f>IF(Table1[[#This Row],[Surgery_Cost_NGN]]&gt;Table1[[#This Row],[Bill_Amount_NGN]], "Anomaly detected", "Valid")</f>
        <v>Valid</v>
      </c>
      <c r="O182" s="1">
        <f t="shared" si="2"/>
        <v>0</v>
      </c>
    </row>
    <row r="183" spans="1:15" x14ac:dyDescent="0.35">
      <c r="A183" t="s">
        <v>245</v>
      </c>
      <c r="B183" t="s">
        <v>10</v>
      </c>
      <c r="C183">
        <v>60</v>
      </c>
      <c r="D183" t="str">
        <f>IF(Table1[[#This Row],[Age]]&lt;=4, "Toddler (0-4)",
IF(Table1[[#This Row],[Age]]&lt;=12, "Child (5-12)",
IF(Table1[[#This Row],[Age]]&lt;=19, "Adolescent (13-19)",
IF(Table1[[#This Row],[Age]]&lt;=35, "Young adult (20-35)",
IF(Table1[[#This Row],[Age]]&lt;=59, "Adult (36-59)", "Elderly (60-90)")))))</f>
        <v>Elderly (60-90)</v>
      </c>
      <c r="E183" t="s">
        <v>19</v>
      </c>
      <c r="F183">
        <v>19</v>
      </c>
      <c r="G183" t="str">
        <f>IF(Table1[[#This Row],[Admission_Days]]&lt;=5, "Immediate (1-5)",
IF(Table1[[#This Row],[Admission_Days]]&lt;=10, "Short-term (6-10)",
IF(Table1[[#This Row],[Admission_Days]]&lt;=15, "Medium-term (11-15)", "Long-term (16-20)")))</f>
        <v>Long-term (16-20)</v>
      </c>
      <c r="H183" t="s">
        <v>17</v>
      </c>
      <c r="I183">
        <v>5</v>
      </c>
      <c r="J183">
        <v>5</v>
      </c>
      <c r="K183" s="1">
        <v>600000</v>
      </c>
      <c r="L183" t="str">
        <f>IF(Table1[[#This Row],[Surgery_Cost_NGN]]&gt;0, "Yes", "No")</f>
        <v>Yes</v>
      </c>
      <c r="M183" s="1">
        <v>995267</v>
      </c>
      <c r="N183" t="str">
        <f>IF(Table1[[#This Row],[Surgery_Cost_NGN]]&gt;Table1[[#This Row],[Bill_Amount_NGN]], "Anomaly detected", "Valid")</f>
        <v>Valid</v>
      </c>
      <c r="O183" s="1">
        <f t="shared" si="2"/>
        <v>60.285330469110299</v>
      </c>
    </row>
    <row r="184" spans="1:15" x14ac:dyDescent="0.35">
      <c r="A184" t="s">
        <v>246</v>
      </c>
      <c r="B184" t="s">
        <v>13</v>
      </c>
      <c r="C184">
        <v>8</v>
      </c>
      <c r="D184" t="str">
        <f>IF(Table1[[#This Row],[Age]]&lt;=4, "Toddler (0-4)",
IF(Table1[[#This Row],[Age]]&lt;=12, "Child (5-12)",
IF(Table1[[#This Row],[Age]]&lt;=19, "Adolescent (13-19)",
IF(Table1[[#This Row],[Age]]&lt;=35, "Young adult (20-35)",
IF(Table1[[#This Row],[Age]]&lt;=59, "Adult (36-59)", "Elderly (60-90)")))))</f>
        <v>Child (5-12)</v>
      </c>
      <c r="E184" t="s">
        <v>22</v>
      </c>
      <c r="F184">
        <v>14</v>
      </c>
      <c r="G184" t="str">
        <f>IF(Table1[[#This Row],[Admission_Days]]&lt;=5, "Immediate (1-5)",
IF(Table1[[#This Row],[Admission_Days]]&lt;=10, "Short-term (6-10)",
IF(Table1[[#This Row],[Admission_Days]]&lt;=15, "Medium-term (11-15)", "Long-term (16-20)")))</f>
        <v>Medium-term (11-15)</v>
      </c>
      <c r="H184" t="s">
        <v>12</v>
      </c>
      <c r="I184">
        <v>2</v>
      </c>
      <c r="J184">
        <v>4</v>
      </c>
      <c r="K184" s="1">
        <v>400000</v>
      </c>
      <c r="L184" t="str">
        <f>IF(Table1[[#This Row],[Surgery_Cost_NGN]]&gt;0, "Yes", "No")</f>
        <v>Yes</v>
      </c>
      <c r="M184" s="1">
        <v>656812</v>
      </c>
      <c r="N184" t="str">
        <f>IF(Table1[[#This Row],[Surgery_Cost_NGN]]&gt;Table1[[#This Row],[Bill_Amount_NGN]], "Anomaly detected", "Valid")</f>
        <v>Valid</v>
      </c>
      <c r="O184" s="1">
        <f t="shared" si="2"/>
        <v>60.900227157847297</v>
      </c>
    </row>
    <row r="185" spans="1:15" x14ac:dyDescent="0.35">
      <c r="A185" t="s">
        <v>247</v>
      </c>
      <c r="B185" t="s">
        <v>10</v>
      </c>
      <c r="C185">
        <v>53</v>
      </c>
      <c r="D185" t="str">
        <f>IF(Table1[[#This Row],[Age]]&lt;=4, "Toddler (0-4)",
IF(Table1[[#This Row],[Age]]&lt;=12, "Child (5-12)",
IF(Table1[[#This Row],[Age]]&lt;=19, "Adolescent (13-19)",
IF(Table1[[#This Row],[Age]]&lt;=35, "Young adult (20-35)",
IF(Table1[[#This Row],[Age]]&lt;=59, "Adult (36-59)", "Elderly (60-90)")))))</f>
        <v>Adult (36-59)</v>
      </c>
      <c r="E185" t="s">
        <v>16</v>
      </c>
      <c r="F185">
        <v>4</v>
      </c>
      <c r="G185" t="str">
        <f>IF(Table1[[#This Row],[Admission_Days]]&lt;=5, "Immediate (1-5)",
IF(Table1[[#This Row],[Admission_Days]]&lt;=10, "Short-term (6-10)",
IF(Table1[[#This Row],[Admission_Days]]&lt;=15, "Medium-term (11-15)", "Long-term (16-20)")))</f>
        <v>Immediate (1-5)</v>
      </c>
      <c r="H185" t="s">
        <v>12</v>
      </c>
      <c r="I185">
        <v>5</v>
      </c>
      <c r="J185">
        <v>1</v>
      </c>
      <c r="K185" s="1">
        <v>150000</v>
      </c>
      <c r="L185" t="str">
        <f>IF(Table1[[#This Row],[Surgery_Cost_NGN]]&gt;0, "Yes", "No")</f>
        <v>Yes</v>
      </c>
      <c r="M185" s="1">
        <v>254381</v>
      </c>
      <c r="N185" t="str">
        <f>IF(Table1[[#This Row],[Surgery_Cost_NGN]]&gt;Table1[[#This Row],[Bill_Amount_NGN]], "Anomaly detected", "Valid")</f>
        <v>Valid</v>
      </c>
      <c r="O185" s="1">
        <f t="shared" si="2"/>
        <v>58.966668108074103</v>
      </c>
    </row>
    <row r="186" spans="1:15" x14ac:dyDescent="0.35">
      <c r="A186" t="s">
        <v>248</v>
      </c>
      <c r="B186" t="s">
        <v>10</v>
      </c>
      <c r="C186">
        <v>60</v>
      </c>
      <c r="D186" t="str">
        <f>IF(Table1[[#This Row],[Age]]&lt;=4, "Toddler (0-4)",
IF(Table1[[#This Row],[Age]]&lt;=12, "Child (5-12)",
IF(Table1[[#This Row],[Age]]&lt;=19, "Adolescent (13-19)",
IF(Table1[[#This Row],[Age]]&lt;=35, "Young adult (20-35)",
IF(Table1[[#This Row],[Age]]&lt;=59, "Adult (36-59)", "Elderly (60-90)")))))</f>
        <v>Elderly (60-90)</v>
      </c>
      <c r="E186" t="s">
        <v>11</v>
      </c>
      <c r="F186">
        <v>13</v>
      </c>
      <c r="G186" t="str">
        <f>IF(Table1[[#This Row],[Admission_Days]]&lt;=5, "Immediate (1-5)",
IF(Table1[[#This Row],[Admission_Days]]&lt;=10, "Short-term (6-10)",
IF(Table1[[#This Row],[Admission_Days]]&lt;=15, "Medium-term (11-15)", "Long-term (16-20)")))</f>
        <v>Medium-term (11-15)</v>
      </c>
      <c r="H186" t="s">
        <v>18</v>
      </c>
      <c r="I186">
        <v>1</v>
      </c>
      <c r="J186">
        <v>7</v>
      </c>
      <c r="K186" s="1">
        <v>400000</v>
      </c>
      <c r="L186" t="str">
        <f>IF(Table1[[#This Row],[Surgery_Cost_NGN]]&gt;0, "Yes", "No")</f>
        <v>Yes</v>
      </c>
      <c r="M186" s="1">
        <v>627316</v>
      </c>
      <c r="N186" t="str">
        <f>IF(Table1[[#This Row],[Surgery_Cost_NGN]]&gt;Table1[[#This Row],[Bill_Amount_NGN]], "Anomaly detected", "Valid")</f>
        <v>Valid</v>
      </c>
      <c r="O186" s="1">
        <f t="shared" si="2"/>
        <v>63.763717169656118</v>
      </c>
    </row>
    <row r="187" spans="1:15" x14ac:dyDescent="0.35">
      <c r="A187" t="s">
        <v>249</v>
      </c>
      <c r="B187" t="s">
        <v>10</v>
      </c>
      <c r="C187">
        <v>5</v>
      </c>
      <c r="D187" t="str">
        <f>IF(Table1[[#This Row],[Age]]&lt;=4, "Toddler (0-4)",
IF(Table1[[#This Row],[Age]]&lt;=12, "Child (5-12)",
IF(Table1[[#This Row],[Age]]&lt;=19, "Adolescent (13-19)",
IF(Table1[[#This Row],[Age]]&lt;=35, "Young adult (20-35)",
IF(Table1[[#This Row],[Age]]&lt;=59, "Adult (36-59)", "Elderly (60-90)")))))</f>
        <v>Child (5-12)</v>
      </c>
      <c r="E187" t="s">
        <v>11</v>
      </c>
      <c r="F187">
        <v>10</v>
      </c>
      <c r="G187" t="str">
        <f>IF(Table1[[#This Row],[Admission_Days]]&lt;=5, "Immediate (1-5)",
IF(Table1[[#This Row],[Admission_Days]]&lt;=10, "Short-term (6-10)",
IF(Table1[[#This Row],[Admission_Days]]&lt;=15, "Medium-term (11-15)", "Long-term (16-20)")))</f>
        <v>Short-term (6-10)</v>
      </c>
      <c r="H187" t="s">
        <v>21</v>
      </c>
      <c r="I187">
        <v>0</v>
      </c>
      <c r="J187">
        <v>3</v>
      </c>
      <c r="K187" s="1">
        <v>150000</v>
      </c>
      <c r="L187" t="str">
        <f>IF(Table1[[#This Row],[Surgery_Cost_NGN]]&gt;0, "Yes", "No")</f>
        <v>Yes</v>
      </c>
      <c r="M187" s="1">
        <v>290378</v>
      </c>
      <c r="N187" t="str">
        <f>IF(Table1[[#This Row],[Surgery_Cost_NGN]]&gt;Table1[[#This Row],[Bill_Amount_NGN]], "Anomaly detected", "Valid")</f>
        <v>Valid</v>
      </c>
      <c r="O187" s="1">
        <f t="shared" si="2"/>
        <v>51.656805956374107</v>
      </c>
    </row>
    <row r="188" spans="1:15" x14ac:dyDescent="0.35">
      <c r="A188" t="s">
        <v>250</v>
      </c>
      <c r="B188" t="s">
        <v>13</v>
      </c>
      <c r="C188">
        <v>68</v>
      </c>
      <c r="D188" t="str">
        <f>IF(Table1[[#This Row],[Age]]&lt;=4, "Toddler (0-4)",
IF(Table1[[#This Row],[Age]]&lt;=12, "Child (5-12)",
IF(Table1[[#This Row],[Age]]&lt;=19, "Adolescent (13-19)",
IF(Table1[[#This Row],[Age]]&lt;=35, "Young adult (20-35)",
IF(Table1[[#This Row],[Age]]&lt;=59, "Adult (36-59)", "Elderly (60-90)")))))</f>
        <v>Elderly (60-90)</v>
      </c>
      <c r="E188" t="s">
        <v>14</v>
      </c>
      <c r="F188">
        <v>18</v>
      </c>
      <c r="G188" t="str">
        <f>IF(Table1[[#This Row],[Admission_Days]]&lt;=5, "Immediate (1-5)",
IF(Table1[[#This Row],[Admission_Days]]&lt;=10, "Short-term (6-10)",
IF(Table1[[#This Row],[Admission_Days]]&lt;=15, "Medium-term (11-15)", "Long-term (16-20)")))</f>
        <v>Long-term (16-20)</v>
      </c>
      <c r="H188" t="s">
        <v>17</v>
      </c>
      <c r="I188">
        <v>1</v>
      </c>
      <c r="J188">
        <v>6</v>
      </c>
      <c r="K188" s="1">
        <v>0</v>
      </c>
      <c r="L188" t="str">
        <f>IF(Table1[[#This Row],[Surgery_Cost_NGN]]&gt;0, "Yes", "No")</f>
        <v>No</v>
      </c>
      <c r="M188" s="1">
        <v>259503</v>
      </c>
      <c r="N188" t="str">
        <f>IF(Table1[[#This Row],[Surgery_Cost_NGN]]&gt;Table1[[#This Row],[Bill_Amount_NGN]], "Anomaly detected", "Valid")</f>
        <v>Valid</v>
      </c>
      <c r="O188" s="1">
        <f t="shared" si="2"/>
        <v>0</v>
      </c>
    </row>
    <row r="189" spans="1:15" x14ac:dyDescent="0.35">
      <c r="A189" t="s">
        <v>251</v>
      </c>
      <c r="B189" t="s">
        <v>10</v>
      </c>
      <c r="C189">
        <v>6</v>
      </c>
      <c r="D189" t="str">
        <f>IF(Table1[[#This Row],[Age]]&lt;=4, "Toddler (0-4)",
IF(Table1[[#This Row],[Age]]&lt;=12, "Child (5-12)",
IF(Table1[[#This Row],[Age]]&lt;=19, "Adolescent (13-19)",
IF(Table1[[#This Row],[Age]]&lt;=35, "Young adult (20-35)",
IF(Table1[[#This Row],[Age]]&lt;=59, "Adult (36-59)", "Elderly (60-90)")))))</f>
        <v>Child (5-12)</v>
      </c>
      <c r="E189" t="s">
        <v>19</v>
      </c>
      <c r="F189">
        <v>8</v>
      </c>
      <c r="G189" t="str">
        <f>IF(Table1[[#This Row],[Admission_Days]]&lt;=5, "Immediate (1-5)",
IF(Table1[[#This Row],[Admission_Days]]&lt;=10, "Short-term (6-10)",
IF(Table1[[#This Row],[Admission_Days]]&lt;=15, "Medium-term (11-15)", "Long-term (16-20)")))</f>
        <v>Short-term (6-10)</v>
      </c>
      <c r="H189" t="s">
        <v>18</v>
      </c>
      <c r="I189">
        <v>3</v>
      </c>
      <c r="J189">
        <v>5</v>
      </c>
      <c r="K189" s="1">
        <v>150000</v>
      </c>
      <c r="L189" t="str">
        <f>IF(Table1[[#This Row],[Surgery_Cost_NGN]]&gt;0, "Yes", "No")</f>
        <v>Yes</v>
      </c>
      <c r="M189" s="1">
        <v>278372</v>
      </c>
      <c r="N189" t="str">
        <f>IF(Table1[[#This Row],[Surgery_Cost_NGN]]&gt;Table1[[#This Row],[Bill_Amount_NGN]], "Anomaly detected", "Valid")</f>
        <v>Valid</v>
      </c>
      <c r="O189" s="1">
        <f t="shared" si="2"/>
        <v>53.884729786041696</v>
      </c>
    </row>
    <row r="190" spans="1:15" x14ac:dyDescent="0.35">
      <c r="A190" t="s">
        <v>252</v>
      </c>
      <c r="B190" t="s">
        <v>10</v>
      </c>
      <c r="C190">
        <v>47</v>
      </c>
      <c r="D190" t="str">
        <f>IF(Table1[[#This Row],[Age]]&lt;=4, "Toddler (0-4)",
IF(Table1[[#This Row],[Age]]&lt;=12, "Child (5-12)",
IF(Table1[[#This Row],[Age]]&lt;=19, "Adolescent (13-19)",
IF(Table1[[#This Row],[Age]]&lt;=35, "Young adult (20-35)",
IF(Table1[[#This Row],[Age]]&lt;=59, "Adult (36-59)", "Elderly (60-90)")))))</f>
        <v>Adult (36-59)</v>
      </c>
      <c r="E190" t="s">
        <v>14</v>
      </c>
      <c r="F190">
        <v>8</v>
      </c>
      <c r="G190" t="str">
        <f>IF(Table1[[#This Row],[Admission_Days]]&lt;=5, "Immediate (1-5)",
IF(Table1[[#This Row],[Admission_Days]]&lt;=10, "Short-term (6-10)",
IF(Table1[[#This Row],[Admission_Days]]&lt;=15, "Medium-term (11-15)", "Long-term (16-20)")))</f>
        <v>Short-term (6-10)</v>
      </c>
      <c r="H190" t="s">
        <v>15</v>
      </c>
      <c r="I190">
        <v>3</v>
      </c>
      <c r="J190">
        <v>5</v>
      </c>
      <c r="K190" s="1">
        <v>250000</v>
      </c>
      <c r="L190" t="str">
        <f>IF(Table1[[#This Row],[Surgery_Cost_NGN]]&gt;0, "Yes", "No")</f>
        <v>Yes</v>
      </c>
      <c r="M190" s="1">
        <v>423787</v>
      </c>
      <c r="N190" t="str">
        <f>IF(Table1[[#This Row],[Surgery_Cost_NGN]]&gt;Table1[[#This Row],[Bill_Amount_NGN]], "Anomaly detected", "Valid")</f>
        <v>Valid</v>
      </c>
      <c r="O190" s="1">
        <f t="shared" si="2"/>
        <v>58.991899232397401</v>
      </c>
    </row>
    <row r="191" spans="1:15" x14ac:dyDescent="0.35">
      <c r="A191" t="s">
        <v>253</v>
      </c>
      <c r="B191" t="s">
        <v>13</v>
      </c>
      <c r="C191">
        <v>55</v>
      </c>
      <c r="D191" t="str">
        <f>IF(Table1[[#This Row],[Age]]&lt;=4, "Toddler (0-4)",
IF(Table1[[#This Row],[Age]]&lt;=12, "Child (5-12)",
IF(Table1[[#This Row],[Age]]&lt;=19, "Adolescent (13-19)",
IF(Table1[[#This Row],[Age]]&lt;=35, "Young adult (20-35)",
IF(Table1[[#This Row],[Age]]&lt;=59, "Adult (36-59)", "Elderly (60-90)")))))</f>
        <v>Adult (36-59)</v>
      </c>
      <c r="E191" t="s">
        <v>22</v>
      </c>
      <c r="F191">
        <v>7</v>
      </c>
      <c r="G191" t="str">
        <f>IF(Table1[[#This Row],[Admission_Days]]&lt;=5, "Immediate (1-5)",
IF(Table1[[#This Row],[Admission_Days]]&lt;=10, "Short-term (6-10)",
IF(Table1[[#This Row],[Admission_Days]]&lt;=15, "Medium-term (11-15)", "Long-term (16-20)")))</f>
        <v>Short-term (6-10)</v>
      </c>
      <c r="H191" t="s">
        <v>15</v>
      </c>
      <c r="I191">
        <v>5</v>
      </c>
      <c r="J191">
        <v>5</v>
      </c>
      <c r="K191" s="1">
        <v>250000</v>
      </c>
      <c r="L191" t="str">
        <f>IF(Table1[[#This Row],[Surgery_Cost_NGN]]&gt;0, "Yes", "No")</f>
        <v>Yes</v>
      </c>
      <c r="M191" s="1">
        <v>464527</v>
      </c>
      <c r="N191" t="str">
        <f>IF(Table1[[#This Row],[Surgery_Cost_NGN]]&gt;Table1[[#This Row],[Bill_Amount_NGN]], "Anomaly detected", "Valid")</f>
        <v>Valid</v>
      </c>
      <c r="O191" s="1">
        <f t="shared" si="2"/>
        <v>53.818184949421664</v>
      </c>
    </row>
    <row r="192" spans="1:15" x14ac:dyDescent="0.35">
      <c r="A192" t="s">
        <v>254</v>
      </c>
      <c r="B192" t="s">
        <v>10</v>
      </c>
      <c r="C192">
        <v>40</v>
      </c>
      <c r="D192" t="str">
        <f>IF(Table1[[#This Row],[Age]]&lt;=4, "Toddler (0-4)",
IF(Table1[[#This Row],[Age]]&lt;=12, "Child (5-12)",
IF(Table1[[#This Row],[Age]]&lt;=19, "Adolescent (13-19)",
IF(Table1[[#This Row],[Age]]&lt;=35, "Young adult (20-35)",
IF(Table1[[#This Row],[Age]]&lt;=59, "Adult (36-59)", "Elderly (60-90)")))))</f>
        <v>Adult (36-59)</v>
      </c>
      <c r="E192" t="s">
        <v>14</v>
      </c>
      <c r="F192">
        <v>8</v>
      </c>
      <c r="G192" t="str">
        <f>IF(Table1[[#This Row],[Admission_Days]]&lt;=5, "Immediate (1-5)",
IF(Table1[[#This Row],[Admission_Days]]&lt;=10, "Short-term (6-10)",
IF(Table1[[#This Row],[Admission_Days]]&lt;=15, "Medium-term (11-15)", "Long-term (16-20)")))</f>
        <v>Short-term (6-10)</v>
      </c>
      <c r="H192" t="s">
        <v>12</v>
      </c>
      <c r="I192">
        <v>4</v>
      </c>
      <c r="J192">
        <v>1</v>
      </c>
      <c r="K192" s="1">
        <v>250000</v>
      </c>
      <c r="L192" t="str">
        <f>IF(Table1[[#This Row],[Surgery_Cost_NGN]]&gt;0, "Yes", "No")</f>
        <v>Yes</v>
      </c>
      <c r="M192" s="1">
        <v>402833</v>
      </c>
      <c r="N192" t="str">
        <f>IF(Table1[[#This Row],[Surgery_Cost_NGN]]&gt;Table1[[#This Row],[Bill_Amount_NGN]], "Anomaly detected", "Valid")</f>
        <v>Valid</v>
      </c>
      <c r="O192" s="1">
        <f t="shared" si="2"/>
        <v>62.060456814610518</v>
      </c>
    </row>
    <row r="193" spans="1:15" x14ac:dyDescent="0.35">
      <c r="A193" t="s">
        <v>255</v>
      </c>
      <c r="B193" t="s">
        <v>10</v>
      </c>
      <c r="C193">
        <v>52</v>
      </c>
      <c r="D193" t="str">
        <f>IF(Table1[[#This Row],[Age]]&lt;=4, "Toddler (0-4)",
IF(Table1[[#This Row],[Age]]&lt;=12, "Child (5-12)",
IF(Table1[[#This Row],[Age]]&lt;=19, "Adolescent (13-19)",
IF(Table1[[#This Row],[Age]]&lt;=35, "Young adult (20-35)",
IF(Table1[[#This Row],[Age]]&lt;=59, "Adult (36-59)", "Elderly (60-90)")))))</f>
        <v>Adult (36-59)</v>
      </c>
      <c r="E193" t="s">
        <v>16</v>
      </c>
      <c r="F193">
        <v>14</v>
      </c>
      <c r="G193" t="str">
        <f>IF(Table1[[#This Row],[Admission_Days]]&lt;=5, "Immediate (1-5)",
IF(Table1[[#This Row],[Admission_Days]]&lt;=10, "Short-term (6-10)",
IF(Table1[[#This Row],[Admission_Days]]&lt;=15, "Medium-term (11-15)", "Long-term (16-20)")))</f>
        <v>Medium-term (11-15)</v>
      </c>
      <c r="H193" t="s">
        <v>12</v>
      </c>
      <c r="I193">
        <v>4</v>
      </c>
      <c r="J193">
        <v>1</v>
      </c>
      <c r="K193" s="1">
        <v>600000</v>
      </c>
      <c r="L193" t="str">
        <f>IF(Table1[[#This Row],[Surgery_Cost_NGN]]&gt;0, "Yes", "No")</f>
        <v>Yes</v>
      </c>
      <c r="M193" s="1">
        <v>819587</v>
      </c>
      <c r="N193" t="str">
        <f>IF(Table1[[#This Row],[Surgery_Cost_NGN]]&gt;Table1[[#This Row],[Bill_Amount_NGN]], "Anomaly detected", "Valid")</f>
        <v>Valid</v>
      </c>
      <c r="O193" s="1">
        <f t="shared" si="2"/>
        <v>73.207603341683068</v>
      </c>
    </row>
    <row r="194" spans="1:15" x14ac:dyDescent="0.35">
      <c r="A194" t="s">
        <v>256</v>
      </c>
      <c r="B194" t="s">
        <v>10</v>
      </c>
      <c r="C194">
        <v>16</v>
      </c>
      <c r="D194" t="str">
        <f>IF(Table1[[#This Row],[Age]]&lt;=4, "Toddler (0-4)",
IF(Table1[[#This Row],[Age]]&lt;=12, "Child (5-12)",
IF(Table1[[#This Row],[Age]]&lt;=19, "Adolescent (13-19)",
IF(Table1[[#This Row],[Age]]&lt;=35, "Young adult (20-35)",
IF(Table1[[#This Row],[Age]]&lt;=59, "Adult (36-59)", "Elderly (60-90)")))))</f>
        <v>Adolescent (13-19)</v>
      </c>
      <c r="E194" t="s">
        <v>11</v>
      </c>
      <c r="F194">
        <v>19</v>
      </c>
      <c r="G194" t="str">
        <f>IF(Table1[[#This Row],[Admission_Days]]&lt;=5, "Immediate (1-5)",
IF(Table1[[#This Row],[Admission_Days]]&lt;=10, "Short-term (6-10)",
IF(Table1[[#This Row],[Admission_Days]]&lt;=15, "Medium-term (11-15)", "Long-term (16-20)")))</f>
        <v>Long-term (16-20)</v>
      </c>
      <c r="H194" t="s">
        <v>15</v>
      </c>
      <c r="I194">
        <v>5</v>
      </c>
      <c r="J194">
        <v>3</v>
      </c>
      <c r="K194" s="1">
        <v>600000</v>
      </c>
      <c r="L194" t="str">
        <f>IF(Table1[[#This Row],[Surgery_Cost_NGN]]&gt;0, "Yes", "No")</f>
        <v>Yes</v>
      </c>
      <c r="M194" s="1">
        <v>830122</v>
      </c>
      <c r="N194" t="str">
        <f>IF(Table1[[#This Row],[Surgery_Cost_NGN]]&gt;Table1[[#This Row],[Bill_Amount_NGN]], "Anomaly detected", "Valid")</f>
        <v>Valid</v>
      </c>
      <c r="O194" s="1">
        <f t="shared" ref="O194:O257" si="3">IF(M194=0, 0, K194/M194*100)</f>
        <v>72.278532553046418</v>
      </c>
    </row>
    <row r="195" spans="1:15" x14ac:dyDescent="0.35">
      <c r="A195" t="s">
        <v>257</v>
      </c>
      <c r="B195" t="s">
        <v>10</v>
      </c>
      <c r="C195">
        <v>13</v>
      </c>
      <c r="D195" t="str">
        <f>IF(Table1[[#This Row],[Age]]&lt;=4, "Toddler (0-4)",
IF(Table1[[#This Row],[Age]]&lt;=12, "Child (5-12)",
IF(Table1[[#This Row],[Age]]&lt;=19, "Adolescent (13-19)",
IF(Table1[[#This Row],[Age]]&lt;=35, "Young adult (20-35)",
IF(Table1[[#This Row],[Age]]&lt;=59, "Adult (36-59)", "Elderly (60-90)")))))</f>
        <v>Adolescent (13-19)</v>
      </c>
      <c r="E195" t="s">
        <v>22</v>
      </c>
      <c r="F195">
        <v>6</v>
      </c>
      <c r="G195" t="str">
        <f>IF(Table1[[#This Row],[Admission_Days]]&lt;=5, "Immediate (1-5)",
IF(Table1[[#This Row],[Admission_Days]]&lt;=10, "Short-term (6-10)",
IF(Table1[[#This Row],[Admission_Days]]&lt;=15, "Medium-term (11-15)", "Long-term (16-20)")))</f>
        <v>Short-term (6-10)</v>
      </c>
      <c r="H195" t="s">
        <v>12</v>
      </c>
      <c r="I195">
        <v>3</v>
      </c>
      <c r="J195">
        <v>4</v>
      </c>
      <c r="K195" s="1">
        <v>0</v>
      </c>
      <c r="L195" t="str">
        <f>IF(Table1[[#This Row],[Surgery_Cost_NGN]]&gt;0, "Yes", "No")</f>
        <v>No</v>
      </c>
      <c r="M195" s="1">
        <v>97981</v>
      </c>
      <c r="N195" t="str">
        <f>IF(Table1[[#This Row],[Surgery_Cost_NGN]]&gt;Table1[[#This Row],[Bill_Amount_NGN]], "Anomaly detected", "Valid")</f>
        <v>Valid</v>
      </c>
      <c r="O195" s="1">
        <f t="shared" si="3"/>
        <v>0</v>
      </c>
    </row>
    <row r="196" spans="1:15" x14ac:dyDescent="0.35">
      <c r="A196" t="s">
        <v>258</v>
      </c>
      <c r="B196" t="s">
        <v>10</v>
      </c>
      <c r="C196">
        <v>30</v>
      </c>
      <c r="D196" t="str">
        <f>IF(Table1[[#This Row],[Age]]&lt;=4, "Toddler (0-4)",
IF(Table1[[#This Row],[Age]]&lt;=12, "Child (5-12)",
IF(Table1[[#This Row],[Age]]&lt;=19, "Adolescent (13-19)",
IF(Table1[[#This Row],[Age]]&lt;=35, "Young adult (20-35)",
IF(Table1[[#This Row],[Age]]&lt;=59, "Adult (36-59)", "Elderly (60-90)")))))</f>
        <v>Young adult (20-35)</v>
      </c>
      <c r="E196" t="s">
        <v>14</v>
      </c>
      <c r="F196">
        <v>1</v>
      </c>
      <c r="G196" t="str">
        <f>IF(Table1[[#This Row],[Admission_Days]]&lt;=5, "Immediate (1-5)",
IF(Table1[[#This Row],[Admission_Days]]&lt;=10, "Short-term (6-10)",
IF(Table1[[#This Row],[Admission_Days]]&lt;=15, "Medium-term (11-15)", "Long-term (16-20)")))</f>
        <v>Immediate (1-5)</v>
      </c>
      <c r="H196" t="s">
        <v>17</v>
      </c>
      <c r="I196">
        <v>3</v>
      </c>
      <c r="J196">
        <v>5</v>
      </c>
      <c r="K196" s="1">
        <v>600000</v>
      </c>
      <c r="L196" t="str">
        <f>IF(Table1[[#This Row],[Surgery_Cost_NGN]]&gt;0, "Yes", "No")</f>
        <v>Yes</v>
      </c>
      <c r="M196" s="1">
        <v>690623</v>
      </c>
      <c r="N196" t="str">
        <f>IF(Table1[[#This Row],[Surgery_Cost_NGN]]&gt;Table1[[#This Row],[Bill_Amount_NGN]], "Anomaly detected", "Valid")</f>
        <v>Valid</v>
      </c>
      <c r="O196" s="1">
        <f t="shared" si="3"/>
        <v>86.878079646927489</v>
      </c>
    </row>
    <row r="197" spans="1:15" x14ac:dyDescent="0.35">
      <c r="A197" t="s">
        <v>259</v>
      </c>
      <c r="B197" t="s">
        <v>13</v>
      </c>
      <c r="C197">
        <v>19</v>
      </c>
      <c r="D197" t="str">
        <f>IF(Table1[[#This Row],[Age]]&lt;=4, "Toddler (0-4)",
IF(Table1[[#This Row],[Age]]&lt;=12, "Child (5-12)",
IF(Table1[[#This Row],[Age]]&lt;=19, "Adolescent (13-19)",
IF(Table1[[#This Row],[Age]]&lt;=35, "Young adult (20-35)",
IF(Table1[[#This Row],[Age]]&lt;=59, "Adult (36-59)", "Elderly (60-90)")))))</f>
        <v>Adolescent (13-19)</v>
      </c>
      <c r="E197" t="s">
        <v>19</v>
      </c>
      <c r="F197">
        <v>15</v>
      </c>
      <c r="G197" t="str">
        <f>IF(Table1[[#This Row],[Admission_Days]]&lt;=5, "Immediate (1-5)",
IF(Table1[[#This Row],[Admission_Days]]&lt;=10, "Short-term (6-10)",
IF(Table1[[#This Row],[Admission_Days]]&lt;=15, "Medium-term (11-15)", "Long-term (16-20)")))</f>
        <v>Medium-term (11-15)</v>
      </c>
      <c r="H197" t="s">
        <v>12</v>
      </c>
      <c r="I197">
        <v>3</v>
      </c>
      <c r="J197">
        <v>2</v>
      </c>
      <c r="K197" s="1">
        <v>0</v>
      </c>
      <c r="L197" t="str">
        <f>IF(Table1[[#This Row],[Surgery_Cost_NGN]]&gt;0, "Yes", "No")</f>
        <v>No</v>
      </c>
      <c r="M197" s="1">
        <v>226004</v>
      </c>
      <c r="N197" t="str">
        <f>IF(Table1[[#This Row],[Surgery_Cost_NGN]]&gt;Table1[[#This Row],[Bill_Amount_NGN]], "Anomaly detected", "Valid")</f>
        <v>Valid</v>
      </c>
      <c r="O197" s="1">
        <f t="shared" si="3"/>
        <v>0</v>
      </c>
    </row>
    <row r="198" spans="1:15" x14ac:dyDescent="0.35">
      <c r="A198" t="s">
        <v>260</v>
      </c>
      <c r="B198" t="s">
        <v>13</v>
      </c>
      <c r="C198">
        <v>17</v>
      </c>
      <c r="D198" t="str">
        <f>IF(Table1[[#This Row],[Age]]&lt;=4, "Toddler (0-4)",
IF(Table1[[#This Row],[Age]]&lt;=12, "Child (5-12)",
IF(Table1[[#This Row],[Age]]&lt;=19, "Adolescent (13-19)",
IF(Table1[[#This Row],[Age]]&lt;=35, "Young adult (20-35)",
IF(Table1[[#This Row],[Age]]&lt;=59, "Adult (36-59)", "Elderly (60-90)")))))</f>
        <v>Adolescent (13-19)</v>
      </c>
      <c r="E198" t="s">
        <v>16</v>
      </c>
      <c r="F198">
        <v>1</v>
      </c>
      <c r="G198" t="str">
        <f>IF(Table1[[#This Row],[Admission_Days]]&lt;=5, "Immediate (1-5)",
IF(Table1[[#This Row],[Admission_Days]]&lt;=10, "Short-term (6-10)",
IF(Table1[[#This Row],[Admission_Days]]&lt;=15, "Medium-term (11-15)", "Long-term (16-20)")))</f>
        <v>Immediate (1-5)</v>
      </c>
      <c r="H198" t="s">
        <v>21</v>
      </c>
      <c r="I198">
        <v>1</v>
      </c>
      <c r="J198">
        <v>8</v>
      </c>
      <c r="K198" s="1">
        <v>400000</v>
      </c>
      <c r="L198" t="str">
        <f>IF(Table1[[#This Row],[Surgery_Cost_NGN]]&gt;0, "Yes", "No")</f>
        <v>Yes</v>
      </c>
      <c r="M198" s="1">
        <v>482558</v>
      </c>
      <c r="N198" t="str">
        <f>IF(Table1[[#This Row],[Surgery_Cost_NGN]]&gt;Table1[[#This Row],[Bill_Amount_NGN]], "Anomaly detected", "Valid")</f>
        <v>Valid</v>
      </c>
      <c r="O198" s="1">
        <f t="shared" si="3"/>
        <v>82.891590233712847</v>
      </c>
    </row>
    <row r="199" spans="1:15" x14ac:dyDescent="0.35">
      <c r="A199" t="s">
        <v>261</v>
      </c>
      <c r="B199" t="s">
        <v>13</v>
      </c>
      <c r="C199">
        <v>63</v>
      </c>
      <c r="D199" t="str">
        <f>IF(Table1[[#This Row],[Age]]&lt;=4, "Toddler (0-4)",
IF(Table1[[#This Row],[Age]]&lt;=12, "Child (5-12)",
IF(Table1[[#This Row],[Age]]&lt;=19, "Adolescent (13-19)",
IF(Table1[[#This Row],[Age]]&lt;=35, "Young adult (20-35)",
IF(Table1[[#This Row],[Age]]&lt;=59, "Adult (36-59)", "Elderly (60-90)")))))</f>
        <v>Elderly (60-90)</v>
      </c>
      <c r="E199" t="s">
        <v>16</v>
      </c>
      <c r="F199">
        <v>17</v>
      </c>
      <c r="G199" t="str">
        <f>IF(Table1[[#This Row],[Admission_Days]]&lt;=5, "Immediate (1-5)",
IF(Table1[[#This Row],[Admission_Days]]&lt;=10, "Short-term (6-10)",
IF(Table1[[#This Row],[Admission_Days]]&lt;=15, "Medium-term (11-15)", "Long-term (16-20)")))</f>
        <v>Long-term (16-20)</v>
      </c>
      <c r="H199" t="s">
        <v>12</v>
      </c>
      <c r="I199">
        <v>3</v>
      </c>
      <c r="J199">
        <v>2</v>
      </c>
      <c r="K199" s="1">
        <v>400000</v>
      </c>
      <c r="L199" t="str">
        <f>IF(Table1[[#This Row],[Surgery_Cost_NGN]]&gt;0, "Yes", "No")</f>
        <v>Yes</v>
      </c>
      <c r="M199" s="1">
        <v>626255</v>
      </c>
      <c r="N199" t="str">
        <f>IF(Table1[[#This Row],[Surgery_Cost_NGN]]&gt;Table1[[#This Row],[Bill_Amount_NGN]], "Anomaly detected", "Valid")</f>
        <v>Valid</v>
      </c>
      <c r="O199" s="1">
        <f t="shared" si="3"/>
        <v>63.871745534965783</v>
      </c>
    </row>
    <row r="200" spans="1:15" x14ac:dyDescent="0.35">
      <c r="A200" t="s">
        <v>262</v>
      </c>
      <c r="B200" t="s">
        <v>10</v>
      </c>
      <c r="C200">
        <v>19</v>
      </c>
      <c r="D200" t="str">
        <f>IF(Table1[[#This Row],[Age]]&lt;=4, "Toddler (0-4)",
IF(Table1[[#This Row],[Age]]&lt;=12, "Child (5-12)",
IF(Table1[[#This Row],[Age]]&lt;=19, "Adolescent (13-19)",
IF(Table1[[#This Row],[Age]]&lt;=35, "Young adult (20-35)",
IF(Table1[[#This Row],[Age]]&lt;=59, "Adult (36-59)", "Elderly (60-90)")))))</f>
        <v>Adolescent (13-19)</v>
      </c>
      <c r="E200" t="s">
        <v>14</v>
      </c>
      <c r="F200">
        <v>1</v>
      </c>
      <c r="G200" t="str">
        <f>IF(Table1[[#This Row],[Admission_Days]]&lt;=5, "Immediate (1-5)",
IF(Table1[[#This Row],[Admission_Days]]&lt;=10, "Short-term (6-10)",
IF(Table1[[#This Row],[Admission_Days]]&lt;=15, "Medium-term (11-15)", "Long-term (16-20)")))</f>
        <v>Immediate (1-5)</v>
      </c>
      <c r="H200" t="s">
        <v>18</v>
      </c>
      <c r="I200">
        <v>2</v>
      </c>
      <c r="J200">
        <v>9</v>
      </c>
      <c r="K200" s="1">
        <v>0</v>
      </c>
      <c r="L200" t="str">
        <f>IF(Table1[[#This Row],[Surgery_Cost_NGN]]&gt;0, "Yes", "No")</f>
        <v>No</v>
      </c>
      <c r="M200" s="1">
        <v>106447</v>
      </c>
      <c r="N200" t="str">
        <f>IF(Table1[[#This Row],[Surgery_Cost_NGN]]&gt;Table1[[#This Row],[Bill_Amount_NGN]], "Anomaly detected", "Valid")</f>
        <v>Valid</v>
      </c>
      <c r="O200" s="1">
        <f t="shared" si="3"/>
        <v>0</v>
      </c>
    </row>
    <row r="201" spans="1:15" x14ac:dyDescent="0.35">
      <c r="A201" t="s">
        <v>263</v>
      </c>
      <c r="B201" t="s">
        <v>10</v>
      </c>
      <c r="C201">
        <v>58</v>
      </c>
      <c r="D201" t="str">
        <f>IF(Table1[[#This Row],[Age]]&lt;=4, "Toddler (0-4)",
IF(Table1[[#This Row],[Age]]&lt;=12, "Child (5-12)",
IF(Table1[[#This Row],[Age]]&lt;=19, "Adolescent (13-19)",
IF(Table1[[#This Row],[Age]]&lt;=35, "Young adult (20-35)",
IF(Table1[[#This Row],[Age]]&lt;=59, "Adult (36-59)", "Elderly (60-90)")))))</f>
        <v>Adult (36-59)</v>
      </c>
      <c r="E201" t="s">
        <v>11</v>
      </c>
      <c r="F201">
        <v>15</v>
      </c>
      <c r="G201" t="str">
        <f>IF(Table1[[#This Row],[Admission_Days]]&lt;=5, "Immediate (1-5)",
IF(Table1[[#This Row],[Admission_Days]]&lt;=10, "Short-term (6-10)",
IF(Table1[[#This Row],[Admission_Days]]&lt;=15, "Medium-term (11-15)", "Long-term (16-20)")))</f>
        <v>Medium-term (11-15)</v>
      </c>
      <c r="H201" t="s">
        <v>17</v>
      </c>
      <c r="I201">
        <v>0</v>
      </c>
      <c r="J201">
        <v>2</v>
      </c>
      <c r="K201" s="1">
        <v>600000</v>
      </c>
      <c r="L201" t="str">
        <f>IF(Table1[[#This Row],[Surgery_Cost_NGN]]&gt;0, "Yes", "No")</f>
        <v>Yes</v>
      </c>
      <c r="M201" s="1">
        <v>757817</v>
      </c>
      <c r="N201" t="str">
        <f>IF(Table1[[#This Row],[Surgery_Cost_NGN]]&gt;Table1[[#This Row],[Bill_Amount_NGN]], "Anomaly detected", "Valid")</f>
        <v>Valid</v>
      </c>
      <c r="O201" s="1">
        <f t="shared" si="3"/>
        <v>79.174787580642828</v>
      </c>
    </row>
    <row r="202" spans="1:15" x14ac:dyDescent="0.35">
      <c r="A202" t="s">
        <v>264</v>
      </c>
      <c r="B202" t="s">
        <v>10</v>
      </c>
      <c r="C202">
        <v>55</v>
      </c>
      <c r="D202" t="str">
        <f>IF(Table1[[#This Row],[Age]]&lt;=4, "Toddler (0-4)",
IF(Table1[[#This Row],[Age]]&lt;=12, "Child (5-12)",
IF(Table1[[#This Row],[Age]]&lt;=19, "Adolescent (13-19)",
IF(Table1[[#This Row],[Age]]&lt;=35, "Young adult (20-35)",
IF(Table1[[#This Row],[Age]]&lt;=59, "Adult (36-59)", "Elderly (60-90)")))))</f>
        <v>Adult (36-59)</v>
      </c>
      <c r="E202" t="s">
        <v>14</v>
      </c>
      <c r="F202">
        <v>2</v>
      </c>
      <c r="G202" t="str">
        <f>IF(Table1[[#This Row],[Admission_Days]]&lt;=5, "Immediate (1-5)",
IF(Table1[[#This Row],[Admission_Days]]&lt;=10, "Short-term (6-10)",
IF(Table1[[#This Row],[Admission_Days]]&lt;=15, "Medium-term (11-15)", "Long-term (16-20)")))</f>
        <v>Immediate (1-5)</v>
      </c>
      <c r="H202" t="s">
        <v>18</v>
      </c>
      <c r="I202">
        <v>3</v>
      </c>
      <c r="J202">
        <v>9</v>
      </c>
      <c r="K202" s="1">
        <v>150000</v>
      </c>
      <c r="L202" t="str">
        <f>IF(Table1[[#This Row],[Surgery_Cost_NGN]]&gt;0, "Yes", "No")</f>
        <v>Yes</v>
      </c>
      <c r="M202" s="1">
        <v>248606</v>
      </c>
      <c r="N202" t="str">
        <f>IF(Table1[[#This Row],[Surgery_Cost_NGN]]&gt;Table1[[#This Row],[Bill_Amount_NGN]], "Anomaly detected", "Valid")</f>
        <v>Valid</v>
      </c>
      <c r="O202" s="1">
        <f t="shared" si="3"/>
        <v>60.336435966951719</v>
      </c>
    </row>
    <row r="203" spans="1:15" x14ac:dyDescent="0.35">
      <c r="A203" t="s">
        <v>265</v>
      </c>
      <c r="B203" t="s">
        <v>13</v>
      </c>
      <c r="C203">
        <v>62</v>
      </c>
      <c r="D203" t="str">
        <f>IF(Table1[[#This Row],[Age]]&lt;=4, "Toddler (0-4)",
IF(Table1[[#This Row],[Age]]&lt;=12, "Child (5-12)",
IF(Table1[[#This Row],[Age]]&lt;=19, "Adolescent (13-19)",
IF(Table1[[#This Row],[Age]]&lt;=35, "Young adult (20-35)",
IF(Table1[[#This Row],[Age]]&lt;=59, "Adult (36-59)", "Elderly (60-90)")))))</f>
        <v>Elderly (60-90)</v>
      </c>
      <c r="E203" t="s">
        <v>22</v>
      </c>
      <c r="F203">
        <v>14</v>
      </c>
      <c r="G203" t="str">
        <f>IF(Table1[[#This Row],[Admission_Days]]&lt;=5, "Immediate (1-5)",
IF(Table1[[#This Row],[Admission_Days]]&lt;=10, "Short-term (6-10)",
IF(Table1[[#This Row],[Admission_Days]]&lt;=15, "Medium-term (11-15)", "Long-term (16-20)")))</f>
        <v>Medium-term (11-15)</v>
      </c>
      <c r="H203" t="s">
        <v>18</v>
      </c>
      <c r="I203">
        <v>5</v>
      </c>
      <c r="J203">
        <v>7</v>
      </c>
      <c r="K203" s="1">
        <v>0</v>
      </c>
      <c r="L203" t="str">
        <f>IF(Table1[[#This Row],[Surgery_Cost_NGN]]&gt;0, "Yes", "No")</f>
        <v>No</v>
      </c>
      <c r="M203" s="1">
        <v>263408</v>
      </c>
      <c r="N203" t="str">
        <f>IF(Table1[[#This Row],[Surgery_Cost_NGN]]&gt;Table1[[#This Row],[Bill_Amount_NGN]], "Anomaly detected", "Valid")</f>
        <v>Valid</v>
      </c>
      <c r="O203" s="1">
        <f t="shared" si="3"/>
        <v>0</v>
      </c>
    </row>
    <row r="204" spans="1:15" x14ac:dyDescent="0.35">
      <c r="A204" t="s">
        <v>266</v>
      </c>
      <c r="B204" t="s">
        <v>10</v>
      </c>
      <c r="C204">
        <v>23</v>
      </c>
      <c r="D204" t="str">
        <f>IF(Table1[[#This Row],[Age]]&lt;=4, "Toddler (0-4)",
IF(Table1[[#This Row],[Age]]&lt;=12, "Child (5-12)",
IF(Table1[[#This Row],[Age]]&lt;=19, "Adolescent (13-19)",
IF(Table1[[#This Row],[Age]]&lt;=35, "Young adult (20-35)",
IF(Table1[[#This Row],[Age]]&lt;=59, "Adult (36-59)", "Elderly (60-90)")))))</f>
        <v>Young adult (20-35)</v>
      </c>
      <c r="E204" t="s">
        <v>14</v>
      </c>
      <c r="F204">
        <v>8</v>
      </c>
      <c r="G204" t="str">
        <f>IF(Table1[[#This Row],[Admission_Days]]&lt;=5, "Immediate (1-5)",
IF(Table1[[#This Row],[Admission_Days]]&lt;=10, "Short-term (6-10)",
IF(Table1[[#This Row],[Admission_Days]]&lt;=15, "Medium-term (11-15)", "Long-term (16-20)")))</f>
        <v>Short-term (6-10)</v>
      </c>
      <c r="H204" t="s">
        <v>21</v>
      </c>
      <c r="I204">
        <v>0</v>
      </c>
      <c r="J204">
        <v>8</v>
      </c>
      <c r="K204" s="1">
        <v>150000</v>
      </c>
      <c r="L204" t="str">
        <f>IF(Table1[[#This Row],[Surgery_Cost_NGN]]&gt;0, "Yes", "No")</f>
        <v>Yes</v>
      </c>
      <c r="M204" s="1">
        <v>285032</v>
      </c>
      <c r="N204" t="str">
        <f>IF(Table1[[#This Row],[Surgery_Cost_NGN]]&gt;Table1[[#This Row],[Bill_Amount_NGN]], "Anomaly detected", "Valid")</f>
        <v>Valid</v>
      </c>
      <c r="O204" s="1">
        <f t="shared" si="3"/>
        <v>52.625670100199272</v>
      </c>
    </row>
    <row r="205" spans="1:15" x14ac:dyDescent="0.35">
      <c r="A205" t="s">
        <v>267</v>
      </c>
      <c r="B205" t="s">
        <v>10</v>
      </c>
      <c r="C205">
        <v>9</v>
      </c>
      <c r="D205" t="str">
        <f>IF(Table1[[#This Row],[Age]]&lt;=4, "Toddler (0-4)",
IF(Table1[[#This Row],[Age]]&lt;=12, "Child (5-12)",
IF(Table1[[#This Row],[Age]]&lt;=19, "Adolescent (13-19)",
IF(Table1[[#This Row],[Age]]&lt;=35, "Young adult (20-35)",
IF(Table1[[#This Row],[Age]]&lt;=59, "Adult (36-59)", "Elderly (60-90)")))))</f>
        <v>Child (5-12)</v>
      </c>
      <c r="E205" t="s">
        <v>16</v>
      </c>
      <c r="F205">
        <v>8</v>
      </c>
      <c r="G205" t="str">
        <f>IF(Table1[[#This Row],[Admission_Days]]&lt;=5, "Immediate (1-5)",
IF(Table1[[#This Row],[Admission_Days]]&lt;=10, "Short-term (6-10)",
IF(Table1[[#This Row],[Admission_Days]]&lt;=15, "Medium-term (11-15)", "Long-term (16-20)")))</f>
        <v>Short-term (6-10)</v>
      </c>
      <c r="H205" t="s">
        <v>17</v>
      </c>
      <c r="I205">
        <v>1</v>
      </c>
      <c r="J205">
        <v>2</v>
      </c>
      <c r="K205" s="1">
        <v>150000</v>
      </c>
      <c r="L205" t="str">
        <f>IF(Table1[[#This Row],[Surgery_Cost_NGN]]&gt;0, "Yes", "No")</f>
        <v>Yes</v>
      </c>
      <c r="M205" s="1">
        <v>265136</v>
      </c>
      <c r="N205" t="str">
        <f>IF(Table1[[#This Row],[Surgery_Cost_NGN]]&gt;Table1[[#This Row],[Bill_Amount_NGN]], "Anomaly detected", "Valid")</f>
        <v>Valid</v>
      </c>
      <c r="O205" s="1">
        <f t="shared" si="3"/>
        <v>56.574739001870732</v>
      </c>
    </row>
    <row r="206" spans="1:15" x14ac:dyDescent="0.35">
      <c r="A206" t="s">
        <v>268</v>
      </c>
      <c r="B206" t="s">
        <v>13</v>
      </c>
      <c r="C206">
        <v>12</v>
      </c>
      <c r="D206" t="str">
        <f>IF(Table1[[#This Row],[Age]]&lt;=4, "Toddler (0-4)",
IF(Table1[[#This Row],[Age]]&lt;=12, "Child (5-12)",
IF(Table1[[#This Row],[Age]]&lt;=19, "Adolescent (13-19)",
IF(Table1[[#This Row],[Age]]&lt;=35, "Young adult (20-35)",
IF(Table1[[#This Row],[Age]]&lt;=59, "Adult (36-59)", "Elderly (60-90)")))))</f>
        <v>Child (5-12)</v>
      </c>
      <c r="E206" t="s">
        <v>14</v>
      </c>
      <c r="F206">
        <v>19</v>
      </c>
      <c r="G206" t="str">
        <f>IF(Table1[[#This Row],[Admission_Days]]&lt;=5, "Immediate (1-5)",
IF(Table1[[#This Row],[Admission_Days]]&lt;=10, "Short-term (6-10)",
IF(Table1[[#This Row],[Admission_Days]]&lt;=15, "Medium-term (11-15)", "Long-term (16-20)")))</f>
        <v>Long-term (16-20)</v>
      </c>
      <c r="H206" t="s">
        <v>17</v>
      </c>
      <c r="I206">
        <v>5</v>
      </c>
      <c r="J206">
        <v>7</v>
      </c>
      <c r="K206" s="1">
        <v>0</v>
      </c>
      <c r="L206" t="str">
        <f>IF(Table1[[#This Row],[Surgery_Cost_NGN]]&gt;0, "Yes", "No")</f>
        <v>No</v>
      </c>
      <c r="M206" s="1">
        <v>224739</v>
      </c>
      <c r="N206" t="str">
        <f>IF(Table1[[#This Row],[Surgery_Cost_NGN]]&gt;Table1[[#This Row],[Bill_Amount_NGN]], "Anomaly detected", "Valid")</f>
        <v>Valid</v>
      </c>
      <c r="O206" s="1">
        <f t="shared" si="3"/>
        <v>0</v>
      </c>
    </row>
    <row r="207" spans="1:15" x14ac:dyDescent="0.35">
      <c r="A207" t="s">
        <v>269</v>
      </c>
      <c r="B207" t="s">
        <v>10</v>
      </c>
      <c r="C207">
        <v>1</v>
      </c>
      <c r="D207" t="str">
        <f>IF(Table1[[#This Row],[Age]]&lt;=4, "Toddler (0-4)",
IF(Table1[[#This Row],[Age]]&lt;=12, "Child (5-12)",
IF(Table1[[#This Row],[Age]]&lt;=19, "Adolescent (13-19)",
IF(Table1[[#This Row],[Age]]&lt;=35, "Young adult (20-35)",
IF(Table1[[#This Row],[Age]]&lt;=59, "Adult (36-59)", "Elderly (60-90)")))))</f>
        <v>Toddler (0-4)</v>
      </c>
      <c r="E207" t="s">
        <v>11</v>
      </c>
      <c r="F207">
        <v>7</v>
      </c>
      <c r="G207" t="str">
        <f>IF(Table1[[#This Row],[Admission_Days]]&lt;=5, "Immediate (1-5)",
IF(Table1[[#This Row],[Admission_Days]]&lt;=10, "Short-term (6-10)",
IF(Table1[[#This Row],[Admission_Days]]&lt;=15, "Medium-term (11-15)", "Long-term (16-20)")))</f>
        <v>Short-term (6-10)</v>
      </c>
      <c r="H207" t="s">
        <v>17</v>
      </c>
      <c r="I207">
        <v>0</v>
      </c>
      <c r="J207">
        <v>6</v>
      </c>
      <c r="K207" s="1">
        <v>400000</v>
      </c>
      <c r="L207" t="str">
        <f>IF(Table1[[#This Row],[Surgery_Cost_NGN]]&gt;0, "Yes", "No")</f>
        <v>Yes</v>
      </c>
      <c r="M207" s="1">
        <v>543003</v>
      </c>
      <c r="N207" t="str">
        <f>IF(Table1[[#This Row],[Surgery_Cost_NGN]]&gt;Table1[[#This Row],[Bill_Amount_NGN]], "Anomaly detected", "Valid")</f>
        <v>Valid</v>
      </c>
      <c r="O207" s="1">
        <f t="shared" si="3"/>
        <v>73.66441806030538</v>
      </c>
    </row>
    <row r="208" spans="1:15" x14ac:dyDescent="0.35">
      <c r="A208" t="s">
        <v>270</v>
      </c>
      <c r="B208" t="s">
        <v>13</v>
      </c>
      <c r="C208">
        <v>58</v>
      </c>
      <c r="D208" t="str">
        <f>IF(Table1[[#This Row],[Age]]&lt;=4, "Toddler (0-4)",
IF(Table1[[#This Row],[Age]]&lt;=12, "Child (5-12)",
IF(Table1[[#This Row],[Age]]&lt;=19, "Adolescent (13-19)",
IF(Table1[[#This Row],[Age]]&lt;=35, "Young adult (20-35)",
IF(Table1[[#This Row],[Age]]&lt;=59, "Adult (36-59)", "Elderly (60-90)")))))</f>
        <v>Adult (36-59)</v>
      </c>
      <c r="E208" t="s">
        <v>19</v>
      </c>
      <c r="F208">
        <v>19</v>
      </c>
      <c r="G208" t="str">
        <f>IF(Table1[[#This Row],[Admission_Days]]&lt;=5, "Immediate (1-5)",
IF(Table1[[#This Row],[Admission_Days]]&lt;=10, "Short-term (6-10)",
IF(Table1[[#This Row],[Admission_Days]]&lt;=15, "Medium-term (11-15)", "Long-term (16-20)")))</f>
        <v>Long-term (16-20)</v>
      </c>
      <c r="H208" t="s">
        <v>17</v>
      </c>
      <c r="I208">
        <v>5</v>
      </c>
      <c r="J208">
        <v>4</v>
      </c>
      <c r="K208" s="1">
        <v>250000</v>
      </c>
      <c r="L208" t="str">
        <f>IF(Table1[[#This Row],[Surgery_Cost_NGN]]&gt;0, "Yes", "No")</f>
        <v>Yes</v>
      </c>
      <c r="M208" s="1">
        <v>554271</v>
      </c>
      <c r="N208" t="str">
        <f>IF(Table1[[#This Row],[Surgery_Cost_NGN]]&gt;Table1[[#This Row],[Bill_Amount_NGN]], "Anomaly detected", "Valid")</f>
        <v>Valid</v>
      </c>
      <c r="O208" s="1">
        <f t="shared" si="3"/>
        <v>45.104290139660925</v>
      </c>
    </row>
    <row r="209" spans="1:15" x14ac:dyDescent="0.35">
      <c r="A209" t="s">
        <v>271</v>
      </c>
      <c r="B209" t="s">
        <v>13</v>
      </c>
      <c r="C209">
        <v>1</v>
      </c>
      <c r="D209" t="str">
        <f>IF(Table1[[#This Row],[Age]]&lt;=4, "Toddler (0-4)",
IF(Table1[[#This Row],[Age]]&lt;=12, "Child (5-12)",
IF(Table1[[#This Row],[Age]]&lt;=19, "Adolescent (13-19)",
IF(Table1[[#This Row],[Age]]&lt;=35, "Young adult (20-35)",
IF(Table1[[#This Row],[Age]]&lt;=59, "Adult (36-59)", "Elderly (60-90)")))))</f>
        <v>Toddler (0-4)</v>
      </c>
      <c r="E209" t="s">
        <v>20</v>
      </c>
      <c r="F209">
        <v>6</v>
      </c>
      <c r="G209" t="str">
        <f>IF(Table1[[#This Row],[Admission_Days]]&lt;=5, "Immediate (1-5)",
IF(Table1[[#This Row],[Admission_Days]]&lt;=10, "Short-term (6-10)",
IF(Table1[[#This Row],[Admission_Days]]&lt;=15, "Medium-term (11-15)", "Long-term (16-20)")))</f>
        <v>Short-term (6-10)</v>
      </c>
      <c r="H209" t="s">
        <v>17</v>
      </c>
      <c r="I209">
        <v>1</v>
      </c>
      <c r="J209">
        <v>7</v>
      </c>
      <c r="K209" s="1">
        <v>600000</v>
      </c>
      <c r="L209" t="str">
        <f>IF(Table1[[#This Row],[Surgery_Cost_NGN]]&gt;0, "Yes", "No")</f>
        <v>Yes</v>
      </c>
      <c r="M209" s="1">
        <v>685609</v>
      </c>
      <c r="N209" t="str">
        <f>IF(Table1[[#This Row],[Surgery_Cost_NGN]]&gt;Table1[[#This Row],[Bill_Amount_NGN]], "Anomaly detected", "Valid")</f>
        <v>Valid</v>
      </c>
      <c r="O209" s="1">
        <f t="shared" si="3"/>
        <v>87.513436958966409</v>
      </c>
    </row>
    <row r="210" spans="1:15" x14ac:dyDescent="0.35">
      <c r="A210" t="s">
        <v>272</v>
      </c>
      <c r="B210" t="s">
        <v>13</v>
      </c>
      <c r="C210">
        <v>34</v>
      </c>
      <c r="D210" t="str">
        <f>IF(Table1[[#This Row],[Age]]&lt;=4, "Toddler (0-4)",
IF(Table1[[#This Row],[Age]]&lt;=12, "Child (5-12)",
IF(Table1[[#This Row],[Age]]&lt;=19, "Adolescent (13-19)",
IF(Table1[[#This Row],[Age]]&lt;=35, "Young adult (20-35)",
IF(Table1[[#This Row],[Age]]&lt;=59, "Adult (36-59)", "Elderly (60-90)")))))</f>
        <v>Young adult (20-35)</v>
      </c>
      <c r="E210" t="s">
        <v>14</v>
      </c>
      <c r="F210">
        <v>6</v>
      </c>
      <c r="G210" t="str">
        <f>IF(Table1[[#This Row],[Admission_Days]]&lt;=5, "Immediate (1-5)",
IF(Table1[[#This Row],[Admission_Days]]&lt;=10, "Short-term (6-10)",
IF(Table1[[#This Row],[Admission_Days]]&lt;=15, "Medium-term (11-15)", "Long-term (16-20)")))</f>
        <v>Short-term (6-10)</v>
      </c>
      <c r="H210" t="s">
        <v>21</v>
      </c>
      <c r="I210">
        <v>2</v>
      </c>
      <c r="J210">
        <v>4</v>
      </c>
      <c r="K210" s="1">
        <v>150000</v>
      </c>
      <c r="L210" t="str">
        <f>IF(Table1[[#This Row],[Surgery_Cost_NGN]]&gt;0, "Yes", "No")</f>
        <v>Yes</v>
      </c>
      <c r="M210" s="1">
        <v>301242</v>
      </c>
      <c r="N210" t="str">
        <f>IF(Table1[[#This Row],[Surgery_Cost_NGN]]&gt;Table1[[#This Row],[Bill_Amount_NGN]], "Anomaly detected", "Valid")</f>
        <v>Valid</v>
      </c>
      <c r="O210" s="1">
        <f t="shared" si="3"/>
        <v>49.793853446730537</v>
      </c>
    </row>
    <row r="211" spans="1:15" x14ac:dyDescent="0.35">
      <c r="A211" t="s">
        <v>273</v>
      </c>
      <c r="B211" t="s">
        <v>10</v>
      </c>
      <c r="C211">
        <v>48</v>
      </c>
      <c r="D211" t="str">
        <f>IF(Table1[[#This Row],[Age]]&lt;=4, "Toddler (0-4)",
IF(Table1[[#This Row],[Age]]&lt;=12, "Child (5-12)",
IF(Table1[[#This Row],[Age]]&lt;=19, "Adolescent (13-19)",
IF(Table1[[#This Row],[Age]]&lt;=35, "Young adult (20-35)",
IF(Table1[[#This Row],[Age]]&lt;=59, "Adult (36-59)", "Elderly (60-90)")))))</f>
        <v>Adult (36-59)</v>
      </c>
      <c r="E211" t="s">
        <v>11</v>
      </c>
      <c r="F211">
        <v>3</v>
      </c>
      <c r="G211" t="str">
        <f>IF(Table1[[#This Row],[Admission_Days]]&lt;=5, "Immediate (1-5)",
IF(Table1[[#This Row],[Admission_Days]]&lt;=10, "Short-term (6-10)",
IF(Table1[[#This Row],[Admission_Days]]&lt;=15, "Medium-term (11-15)", "Long-term (16-20)")))</f>
        <v>Immediate (1-5)</v>
      </c>
      <c r="H211" t="s">
        <v>12</v>
      </c>
      <c r="I211">
        <v>1</v>
      </c>
      <c r="J211">
        <v>2</v>
      </c>
      <c r="K211" s="1">
        <v>0</v>
      </c>
      <c r="L211" t="str">
        <f>IF(Table1[[#This Row],[Surgery_Cost_NGN]]&gt;0, "Yes", "No")</f>
        <v>No</v>
      </c>
      <c r="M211" s="1">
        <v>62605</v>
      </c>
      <c r="N211" t="str">
        <f>IF(Table1[[#This Row],[Surgery_Cost_NGN]]&gt;Table1[[#This Row],[Bill_Amount_NGN]], "Anomaly detected", "Valid")</f>
        <v>Valid</v>
      </c>
      <c r="O211" s="1">
        <f t="shared" si="3"/>
        <v>0</v>
      </c>
    </row>
    <row r="212" spans="1:15" x14ac:dyDescent="0.35">
      <c r="A212" t="s">
        <v>274</v>
      </c>
      <c r="B212" t="s">
        <v>10</v>
      </c>
      <c r="C212">
        <v>1</v>
      </c>
      <c r="D212" t="str">
        <f>IF(Table1[[#This Row],[Age]]&lt;=4, "Toddler (0-4)",
IF(Table1[[#This Row],[Age]]&lt;=12, "Child (5-12)",
IF(Table1[[#This Row],[Age]]&lt;=19, "Adolescent (13-19)",
IF(Table1[[#This Row],[Age]]&lt;=35, "Young adult (20-35)",
IF(Table1[[#This Row],[Age]]&lt;=59, "Adult (36-59)", "Elderly (60-90)")))))</f>
        <v>Toddler (0-4)</v>
      </c>
      <c r="E212" t="s">
        <v>11</v>
      </c>
      <c r="F212">
        <v>7</v>
      </c>
      <c r="G212" t="str">
        <f>IF(Table1[[#This Row],[Admission_Days]]&lt;=5, "Immediate (1-5)",
IF(Table1[[#This Row],[Admission_Days]]&lt;=10, "Short-term (6-10)",
IF(Table1[[#This Row],[Admission_Days]]&lt;=15, "Medium-term (11-15)", "Long-term (16-20)")))</f>
        <v>Short-term (6-10)</v>
      </c>
      <c r="H212" t="s">
        <v>18</v>
      </c>
      <c r="I212">
        <v>1</v>
      </c>
      <c r="J212">
        <v>7</v>
      </c>
      <c r="K212" s="1">
        <v>400000</v>
      </c>
      <c r="L212" t="str">
        <f>IF(Table1[[#This Row],[Surgery_Cost_NGN]]&gt;0, "Yes", "No")</f>
        <v>Yes</v>
      </c>
      <c r="M212" s="1">
        <v>542571</v>
      </c>
      <c r="N212" t="str">
        <f>IF(Table1[[#This Row],[Surgery_Cost_NGN]]&gt;Table1[[#This Row],[Bill_Amount_NGN]], "Anomaly detected", "Valid")</f>
        <v>Valid</v>
      </c>
      <c r="O212" s="1">
        <f t="shared" si="3"/>
        <v>73.723070344710649</v>
      </c>
    </row>
    <row r="213" spans="1:15" x14ac:dyDescent="0.35">
      <c r="A213" t="s">
        <v>275</v>
      </c>
      <c r="B213" t="s">
        <v>10</v>
      </c>
      <c r="C213">
        <v>16</v>
      </c>
      <c r="D213" t="str">
        <f>IF(Table1[[#This Row],[Age]]&lt;=4, "Toddler (0-4)",
IF(Table1[[#This Row],[Age]]&lt;=12, "Child (5-12)",
IF(Table1[[#This Row],[Age]]&lt;=19, "Adolescent (13-19)",
IF(Table1[[#This Row],[Age]]&lt;=35, "Young adult (20-35)",
IF(Table1[[#This Row],[Age]]&lt;=59, "Adult (36-59)", "Elderly (60-90)")))))</f>
        <v>Adolescent (13-19)</v>
      </c>
      <c r="E213" t="s">
        <v>19</v>
      </c>
      <c r="F213">
        <v>19</v>
      </c>
      <c r="G213" t="str">
        <f>IF(Table1[[#This Row],[Admission_Days]]&lt;=5, "Immediate (1-5)",
IF(Table1[[#This Row],[Admission_Days]]&lt;=10, "Short-term (6-10)",
IF(Table1[[#This Row],[Admission_Days]]&lt;=15, "Medium-term (11-15)", "Long-term (16-20)")))</f>
        <v>Long-term (16-20)</v>
      </c>
      <c r="H213" t="s">
        <v>17</v>
      </c>
      <c r="I213">
        <v>5</v>
      </c>
      <c r="J213">
        <v>8</v>
      </c>
      <c r="K213" s="1">
        <v>250000</v>
      </c>
      <c r="L213" t="str">
        <f>IF(Table1[[#This Row],[Surgery_Cost_NGN]]&gt;0, "Yes", "No")</f>
        <v>Yes</v>
      </c>
      <c r="M213" s="1">
        <v>532805</v>
      </c>
      <c r="N213" t="str">
        <f>IF(Table1[[#This Row],[Surgery_Cost_NGN]]&gt;Table1[[#This Row],[Bill_Amount_NGN]], "Anomaly detected", "Valid")</f>
        <v>Valid</v>
      </c>
      <c r="O213" s="1">
        <f t="shared" si="3"/>
        <v>46.921481592702769</v>
      </c>
    </row>
    <row r="214" spans="1:15" x14ac:dyDescent="0.35">
      <c r="A214" t="s">
        <v>276</v>
      </c>
      <c r="B214" t="s">
        <v>10</v>
      </c>
      <c r="C214">
        <v>61</v>
      </c>
      <c r="D214" t="str">
        <f>IF(Table1[[#This Row],[Age]]&lt;=4, "Toddler (0-4)",
IF(Table1[[#This Row],[Age]]&lt;=12, "Child (5-12)",
IF(Table1[[#This Row],[Age]]&lt;=19, "Adolescent (13-19)",
IF(Table1[[#This Row],[Age]]&lt;=35, "Young adult (20-35)",
IF(Table1[[#This Row],[Age]]&lt;=59, "Adult (36-59)", "Elderly (60-90)")))))</f>
        <v>Elderly (60-90)</v>
      </c>
      <c r="E214" t="s">
        <v>16</v>
      </c>
      <c r="F214">
        <v>8</v>
      </c>
      <c r="G214" t="str">
        <f>IF(Table1[[#This Row],[Admission_Days]]&lt;=5, "Immediate (1-5)",
IF(Table1[[#This Row],[Admission_Days]]&lt;=10, "Short-term (6-10)",
IF(Table1[[#This Row],[Admission_Days]]&lt;=15, "Medium-term (11-15)", "Long-term (16-20)")))</f>
        <v>Short-term (6-10)</v>
      </c>
      <c r="H214" t="s">
        <v>12</v>
      </c>
      <c r="I214">
        <v>4</v>
      </c>
      <c r="J214">
        <v>2</v>
      </c>
      <c r="K214" s="1">
        <v>150000</v>
      </c>
      <c r="L214" t="str">
        <f>IF(Table1[[#This Row],[Surgery_Cost_NGN]]&gt;0, "Yes", "No")</f>
        <v>Yes</v>
      </c>
      <c r="M214" s="1">
        <v>356664</v>
      </c>
      <c r="N214" t="str">
        <f>IF(Table1[[#This Row],[Surgery_Cost_NGN]]&gt;Table1[[#This Row],[Bill_Amount_NGN]], "Anomaly detected", "Valid")</f>
        <v>Valid</v>
      </c>
      <c r="O214" s="1">
        <f t="shared" si="3"/>
        <v>42.056389206648277</v>
      </c>
    </row>
    <row r="215" spans="1:15" x14ac:dyDescent="0.35">
      <c r="A215" t="s">
        <v>277</v>
      </c>
      <c r="B215" t="s">
        <v>10</v>
      </c>
      <c r="C215">
        <v>64</v>
      </c>
      <c r="D215" t="str">
        <f>IF(Table1[[#This Row],[Age]]&lt;=4, "Toddler (0-4)",
IF(Table1[[#This Row],[Age]]&lt;=12, "Child (5-12)",
IF(Table1[[#This Row],[Age]]&lt;=19, "Adolescent (13-19)",
IF(Table1[[#This Row],[Age]]&lt;=35, "Young adult (20-35)",
IF(Table1[[#This Row],[Age]]&lt;=59, "Adult (36-59)", "Elderly (60-90)")))))</f>
        <v>Elderly (60-90)</v>
      </c>
      <c r="E215" t="s">
        <v>11</v>
      </c>
      <c r="F215">
        <v>10</v>
      </c>
      <c r="G215" t="str">
        <f>IF(Table1[[#This Row],[Admission_Days]]&lt;=5, "Immediate (1-5)",
IF(Table1[[#This Row],[Admission_Days]]&lt;=10, "Short-term (6-10)",
IF(Table1[[#This Row],[Admission_Days]]&lt;=15, "Medium-term (11-15)", "Long-term (16-20)")))</f>
        <v>Short-term (6-10)</v>
      </c>
      <c r="H215" t="s">
        <v>12</v>
      </c>
      <c r="I215">
        <v>3</v>
      </c>
      <c r="J215">
        <v>5</v>
      </c>
      <c r="K215" s="1">
        <v>150000</v>
      </c>
      <c r="L215" t="str">
        <f>IF(Table1[[#This Row],[Surgery_Cost_NGN]]&gt;0, "Yes", "No")</f>
        <v>Yes</v>
      </c>
      <c r="M215" s="1">
        <v>324041</v>
      </c>
      <c r="N215" t="str">
        <f>IF(Table1[[#This Row],[Surgery_Cost_NGN]]&gt;Table1[[#This Row],[Bill_Amount_NGN]], "Anomaly detected", "Valid")</f>
        <v>Valid</v>
      </c>
      <c r="O215" s="1">
        <f t="shared" si="3"/>
        <v>46.290438555614877</v>
      </c>
    </row>
    <row r="216" spans="1:15" x14ac:dyDescent="0.35">
      <c r="A216" t="s">
        <v>278</v>
      </c>
      <c r="B216" t="s">
        <v>10</v>
      </c>
      <c r="C216">
        <v>63</v>
      </c>
      <c r="D216" t="str">
        <f>IF(Table1[[#This Row],[Age]]&lt;=4, "Toddler (0-4)",
IF(Table1[[#This Row],[Age]]&lt;=12, "Child (5-12)",
IF(Table1[[#This Row],[Age]]&lt;=19, "Adolescent (13-19)",
IF(Table1[[#This Row],[Age]]&lt;=35, "Young adult (20-35)",
IF(Table1[[#This Row],[Age]]&lt;=59, "Adult (36-59)", "Elderly (60-90)")))))</f>
        <v>Elderly (60-90)</v>
      </c>
      <c r="E216" t="s">
        <v>11</v>
      </c>
      <c r="F216">
        <v>20</v>
      </c>
      <c r="G216" t="str">
        <f>IF(Table1[[#This Row],[Admission_Days]]&lt;=5, "Immediate (1-5)",
IF(Table1[[#This Row],[Admission_Days]]&lt;=10, "Short-term (6-10)",
IF(Table1[[#This Row],[Admission_Days]]&lt;=15, "Medium-term (11-15)", "Long-term (16-20)")))</f>
        <v>Long-term (16-20)</v>
      </c>
      <c r="H216" t="s">
        <v>18</v>
      </c>
      <c r="I216">
        <v>3</v>
      </c>
      <c r="J216">
        <v>1</v>
      </c>
      <c r="K216" s="1">
        <v>0</v>
      </c>
      <c r="L216" t="str">
        <f>IF(Table1[[#This Row],[Surgery_Cost_NGN]]&gt;0, "Yes", "No")</f>
        <v>No</v>
      </c>
      <c r="M216" s="1">
        <v>227481</v>
      </c>
      <c r="N216" t="str">
        <f>IF(Table1[[#This Row],[Surgery_Cost_NGN]]&gt;Table1[[#This Row],[Bill_Amount_NGN]], "Anomaly detected", "Valid")</f>
        <v>Valid</v>
      </c>
      <c r="O216" s="1">
        <f t="shared" si="3"/>
        <v>0</v>
      </c>
    </row>
    <row r="217" spans="1:15" x14ac:dyDescent="0.35">
      <c r="A217" t="s">
        <v>279</v>
      </c>
      <c r="B217" t="s">
        <v>10</v>
      </c>
      <c r="C217">
        <v>69</v>
      </c>
      <c r="D217" t="str">
        <f>IF(Table1[[#This Row],[Age]]&lt;=4, "Toddler (0-4)",
IF(Table1[[#This Row],[Age]]&lt;=12, "Child (5-12)",
IF(Table1[[#This Row],[Age]]&lt;=19, "Adolescent (13-19)",
IF(Table1[[#This Row],[Age]]&lt;=35, "Young adult (20-35)",
IF(Table1[[#This Row],[Age]]&lt;=59, "Adult (36-59)", "Elderly (60-90)")))))</f>
        <v>Elderly (60-90)</v>
      </c>
      <c r="E217" t="s">
        <v>11</v>
      </c>
      <c r="F217">
        <v>15</v>
      </c>
      <c r="G217" t="str">
        <f>IF(Table1[[#This Row],[Admission_Days]]&lt;=5, "Immediate (1-5)",
IF(Table1[[#This Row],[Admission_Days]]&lt;=10, "Short-term (6-10)",
IF(Table1[[#This Row],[Admission_Days]]&lt;=15, "Medium-term (11-15)", "Long-term (16-20)")))</f>
        <v>Medium-term (11-15)</v>
      </c>
      <c r="H217" t="s">
        <v>21</v>
      </c>
      <c r="I217">
        <v>2</v>
      </c>
      <c r="J217">
        <v>7</v>
      </c>
      <c r="K217" s="1">
        <v>0</v>
      </c>
      <c r="L217" t="str">
        <f>IF(Table1[[#This Row],[Surgery_Cost_NGN]]&gt;0, "Yes", "No")</f>
        <v>No</v>
      </c>
      <c r="M217" s="1">
        <v>198024</v>
      </c>
      <c r="N217" t="str">
        <f>IF(Table1[[#This Row],[Surgery_Cost_NGN]]&gt;Table1[[#This Row],[Bill_Amount_NGN]], "Anomaly detected", "Valid")</f>
        <v>Valid</v>
      </c>
      <c r="O217" s="1">
        <f t="shared" si="3"/>
        <v>0</v>
      </c>
    </row>
    <row r="218" spans="1:15" x14ac:dyDescent="0.35">
      <c r="A218" t="s">
        <v>280</v>
      </c>
      <c r="B218" t="s">
        <v>13</v>
      </c>
      <c r="C218">
        <v>22</v>
      </c>
      <c r="D218" t="str">
        <f>IF(Table1[[#This Row],[Age]]&lt;=4, "Toddler (0-4)",
IF(Table1[[#This Row],[Age]]&lt;=12, "Child (5-12)",
IF(Table1[[#This Row],[Age]]&lt;=19, "Adolescent (13-19)",
IF(Table1[[#This Row],[Age]]&lt;=35, "Young adult (20-35)",
IF(Table1[[#This Row],[Age]]&lt;=59, "Adult (36-59)", "Elderly (60-90)")))))</f>
        <v>Young adult (20-35)</v>
      </c>
      <c r="E218" t="s">
        <v>11</v>
      </c>
      <c r="F218">
        <v>15</v>
      </c>
      <c r="G218" t="str">
        <f>IF(Table1[[#This Row],[Admission_Days]]&lt;=5, "Immediate (1-5)",
IF(Table1[[#This Row],[Admission_Days]]&lt;=10, "Short-term (6-10)",
IF(Table1[[#This Row],[Admission_Days]]&lt;=15, "Medium-term (11-15)", "Long-term (16-20)")))</f>
        <v>Medium-term (11-15)</v>
      </c>
      <c r="H218" t="s">
        <v>15</v>
      </c>
      <c r="I218">
        <v>2</v>
      </c>
      <c r="J218">
        <v>8</v>
      </c>
      <c r="K218" s="1">
        <v>400000</v>
      </c>
      <c r="L218" t="str">
        <f>IF(Table1[[#This Row],[Surgery_Cost_NGN]]&gt;0, "Yes", "No")</f>
        <v>Yes</v>
      </c>
      <c r="M218" s="1">
        <v>623515</v>
      </c>
      <c r="N218" t="str">
        <f>IF(Table1[[#This Row],[Surgery_Cost_NGN]]&gt;Table1[[#This Row],[Bill_Amount_NGN]], "Anomaly detected", "Valid")</f>
        <v>Valid</v>
      </c>
      <c r="O218" s="1">
        <f t="shared" si="3"/>
        <v>64.152426164567018</v>
      </c>
    </row>
    <row r="219" spans="1:15" x14ac:dyDescent="0.35">
      <c r="A219" t="s">
        <v>281</v>
      </c>
      <c r="B219" t="s">
        <v>10</v>
      </c>
      <c r="C219">
        <v>67</v>
      </c>
      <c r="D219" t="str">
        <f>IF(Table1[[#This Row],[Age]]&lt;=4, "Toddler (0-4)",
IF(Table1[[#This Row],[Age]]&lt;=12, "Child (5-12)",
IF(Table1[[#This Row],[Age]]&lt;=19, "Adolescent (13-19)",
IF(Table1[[#This Row],[Age]]&lt;=35, "Young adult (20-35)",
IF(Table1[[#This Row],[Age]]&lt;=59, "Adult (36-59)", "Elderly (60-90)")))))</f>
        <v>Elderly (60-90)</v>
      </c>
      <c r="E219" t="s">
        <v>22</v>
      </c>
      <c r="F219">
        <v>1</v>
      </c>
      <c r="G219" t="str">
        <f>IF(Table1[[#This Row],[Admission_Days]]&lt;=5, "Immediate (1-5)",
IF(Table1[[#This Row],[Admission_Days]]&lt;=10, "Short-term (6-10)",
IF(Table1[[#This Row],[Admission_Days]]&lt;=15, "Medium-term (11-15)", "Long-term (16-20)")))</f>
        <v>Immediate (1-5)</v>
      </c>
      <c r="H219" t="s">
        <v>15</v>
      </c>
      <c r="I219">
        <v>3</v>
      </c>
      <c r="J219">
        <v>6</v>
      </c>
      <c r="K219" s="1">
        <v>250000</v>
      </c>
      <c r="L219" t="str">
        <f>IF(Table1[[#This Row],[Surgery_Cost_NGN]]&gt;0, "Yes", "No")</f>
        <v>Yes</v>
      </c>
      <c r="M219" s="1">
        <v>345752</v>
      </c>
      <c r="N219" t="str">
        <f>IF(Table1[[#This Row],[Surgery_Cost_NGN]]&gt;Table1[[#This Row],[Bill_Amount_NGN]], "Anomaly detected", "Valid")</f>
        <v>Valid</v>
      </c>
      <c r="O219" s="1">
        <f t="shared" si="3"/>
        <v>72.306161641870474</v>
      </c>
    </row>
    <row r="220" spans="1:15" x14ac:dyDescent="0.35">
      <c r="A220" t="s">
        <v>282</v>
      </c>
      <c r="B220" t="s">
        <v>13</v>
      </c>
      <c r="C220">
        <v>76</v>
      </c>
      <c r="D220" t="str">
        <f>IF(Table1[[#This Row],[Age]]&lt;=4, "Toddler (0-4)",
IF(Table1[[#This Row],[Age]]&lt;=12, "Child (5-12)",
IF(Table1[[#This Row],[Age]]&lt;=19, "Adolescent (13-19)",
IF(Table1[[#This Row],[Age]]&lt;=35, "Young adult (20-35)",
IF(Table1[[#This Row],[Age]]&lt;=59, "Adult (36-59)", "Elderly (60-90)")))))</f>
        <v>Elderly (60-90)</v>
      </c>
      <c r="E220" t="s">
        <v>22</v>
      </c>
      <c r="F220">
        <v>20</v>
      </c>
      <c r="G220" t="str">
        <f>IF(Table1[[#This Row],[Admission_Days]]&lt;=5, "Immediate (1-5)",
IF(Table1[[#This Row],[Admission_Days]]&lt;=10, "Short-term (6-10)",
IF(Table1[[#This Row],[Admission_Days]]&lt;=15, "Medium-term (11-15)", "Long-term (16-20)")))</f>
        <v>Long-term (16-20)</v>
      </c>
      <c r="H220" t="s">
        <v>12</v>
      </c>
      <c r="I220">
        <v>4</v>
      </c>
      <c r="J220">
        <v>5</v>
      </c>
      <c r="K220" s="1">
        <v>150000</v>
      </c>
      <c r="L220" t="str">
        <f>IF(Table1[[#This Row],[Surgery_Cost_NGN]]&gt;0, "Yes", "No")</f>
        <v>Yes</v>
      </c>
      <c r="M220" s="1">
        <v>543477</v>
      </c>
      <c r="N220" t="str">
        <f>IF(Table1[[#This Row],[Surgery_Cost_NGN]]&gt;Table1[[#This Row],[Bill_Amount_NGN]], "Anomaly detected", "Valid")</f>
        <v>Valid</v>
      </c>
      <c r="O220" s="1">
        <f t="shared" si="3"/>
        <v>27.600064032148552</v>
      </c>
    </row>
    <row r="221" spans="1:15" x14ac:dyDescent="0.35">
      <c r="A221" t="s">
        <v>283</v>
      </c>
      <c r="B221" t="s">
        <v>10</v>
      </c>
      <c r="C221">
        <v>26</v>
      </c>
      <c r="D221" t="str">
        <f>IF(Table1[[#This Row],[Age]]&lt;=4, "Toddler (0-4)",
IF(Table1[[#This Row],[Age]]&lt;=12, "Child (5-12)",
IF(Table1[[#This Row],[Age]]&lt;=19, "Adolescent (13-19)",
IF(Table1[[#This Row],[Age]]&lt;=35, "Young adult (20-35)",
IF(Table1[[#This Row],[Age]]&lt;=59, "Adult (36-59)", "Elderly (60-90)")))))</f>
        <v>Young adult (20-35)</v>
      </c>
      <c r="E221" t="s">
        <v>16</v>
      </c>
      <c r="F221">
        <v>7</v>
      </c>
      <c r="G221" t="str">
        <f>IF(Table1[[#This Row],[Admission_Days]]&lt;=5, "Immediate (1-5)",
IF(Table1[[#This Row],[Admission_Days]]&lt;=10, "Short-term (6-10)",
IF(Table1[[#This Row],[Admission_Days]]&lt;=15, "Medium-term (11-15)", "Long-term (16-20)")))</f>
        <v>Short-term (6-10)</v>
      </c>
      <c r="H221" t="s">
        <v>18</v>
      </c>
      <c r="I221">
        <v>3</v>
      </c>
      <c r="J221">
        <v>6</v>
      </c>
      <c r="K221" s="1">
        <v>400000</v>
      </c>
      <c r="L221" t="str">
        <f>IF(Table1[[#This Row],[Surgery_Cost_NGN]]&gt;0, "Yes", "No")</f>
        <v>Yes</v>
      </c>
      <c r="M221" s="1">
        <v>554018</v>
      </c>
      <c r="N221" t="str">
        <f>IF(Table1[[#This Row],[Surgery_Cost_NGN]]&gt;Table1[[#This Row],[Bill_Amount_NGN]], "Anomaly detected", "Valid")</f>
        <v>Valid</v>
      </c>
      <c r="O221" s="1">
        <f t="shared" si="3"/>
        <v>72.199820222447642</v>
      </c>
    </row>
    <row r="222" spans="1:15" x14ac:dyDescent="0.35">
      <c r="A222" t="s">
        <v>284</v>
      </c>
      <c r="B222" t="s">
        <v>10</v>
      </c>
      <c r="C222">
        <v>16</v>
      </c>
      <c r="D222" t="str">
        <f>IF(Table1[[#This Row],[Age]]&lt;=4, "Toddler (0-4)",
IF(Table1[[#This Row],[Age]]&lt;=12, "Child (5-12)",
IF(Table1[[#This Row],[Age]]&lt;=19, "Adolescent (13-19)",
IF(Table1[[#This Row],[Age]]&lt;=35, "Young adult (20-35)",
IF(Table1[[#This Row],[Age]]&lt;=59, "Adult (36-59)", "Elderly (60-90)")))))</f>
        <v>Adolescent (13-19)</v>
      </c>
      <c r="E222" t="s">
        <v>14</v>
      </c>
      <c r="F222">
        <v>4</v>
      </c>
      <c r="G222" t="str">
        <f>IF(Table1[[#This Row],[Admission_Days]]&lt;=5, "Immediate (1-5)",
IF(Table1[[#This Row],[Admission_Days]]&lt;=10, "Short-term (6-10)",
IF(Table1[[#This Row],[Admission_Days]]&lt;=15, "Medium-term (11-15)", "Long-term (16-20)")))</f>
        <v>Immediate (1-5)</v>
      </c>
      <c r="H222" t="s">
        <v>15</v>
      </c>
      <c r="I222">
        <v>4</v>
      </c>
      <c r="J222">
        <v>2</v>
      </c>
      <c r="K222" s="1">
        <v>400000</v>
      </c>
      <c r="L222" t="str">
        <f>IF(Table1[[#This Row],[Surgery_Cost_NGN]]&gt;0, "Yes", "No")</f>
        <v>Yes</v>
      </c>
      <c r="M222" s="1">
        <v>511274</v>
      </c>
      <c r="N222" t="str">
        <f>IF(Table1[[#This Row],[Surgery_Cost_NGN]]&gt;Table1[[#This Row],[Bill_Amount_NGN]], "Anomaly detected", "Valid")</f>
        <v>Valid</v>
      </c>
      <c r="O222" s="1">
        <f t="shared" si="3"/>
        <v>78.23593611253456</v>
      </c>
    </row>
    <row r="223" spans="1:15" x14ac:dyDescent="0.35">
      <c r="A223" t="s">
        <v>285</v>
      </c>
      <c r="B223" t="s">
        <v>10</v>
      </c>
      <c r="C223">
        <v>51</v>
      </c>
      <c r="D223" t="str">
        <f>IF(Table1[[#This Row],[Age]]&lt;=4, "Toddler (0-4)",
IF(Table1[[#This Row],[Age]]&lt;=12, "Child (5-12)",
IF(Table1[[#This Row],[Age]]&lt;=19, "Adolescent (13-19)",
IF(Table1[[#This Row],[Age]]&lt;=35, "Young adult (20-35)",
IF(Table1[[#This Row],[Age]]&lt;=59, "Adult (36-59)", "Elderly (60-90)")))))</f>
        <v>Adult (36-59)</v>
      </c>
      <c r="E223" t="s">
        <v>11</v>
      </c>
      <c r="F223">
        <v>6</v>
      </c>
      <c r="G223" t="str">
        <f>IF(Table1[[#This Row],[Admission_Days]]&lt;=5, "Immediate (1-5)",
IF(Table1[[#This Row],[Admission_Days]]&lt;=10, "Short-term (6-10)",
IF(Table1[[#This Row],[Admission_Days]]&lt;=15, "Medium-term (11-15)", "Long-term (16-20)")))</f>
        <v>Short-term (6-10)</v>
      </c>
      <c r="H223" t="s">
        <v>12</v>
      </c>
      <c r="I223">
        <v>2</v>
      </c>
      <c r="J223">
        <v>1</v>
      </c>
      <c r="K223" s="1">
        <v>0</v>
      </c>
      <c r="L223" t="str">
        <f>IF(Table1[[#This Row],[Surgery_Cost_NGN]]&gt;0, "Yes", "No")</f>
        <v>No</v>
      </c>
      <c r="M223" s="1">
        <v>116268</v>
      </c>
      <c r="N223" t="str">
        <f>IF(Table1[[#This Row],[Surgery_Cost_NGN]]&gt;Table1[[#This Row],[Bill_Amount_NGN]], "Anomaly detected", "Valid")</f>
        <v>Valid</v>
      </c>
      <c r="O223" s="1">
        <f t="shared" si="3"/>
        <v>0</v>
      </c>
    </row>
    <row r="224" spans="1:15" x14ac:dyDescent="0.35">
      <c r="A224" t="s">
        <v>286</v>
      </c>
      <c r="B224" t="s">
        <v>13</v>
      </c>
      <c r="C224">
        <v>57</v>
      </c>
      <c r="D224" t="str">
        <f>IF(Table1[[#This Row],[Age]]&lt;=4, "Toddler (0-4)",
IF(Table1[[#This Row],[Age]]&lt;=12, "Child (5-12)",
IF(Table1[[#This Row],[Age]]&lt;=19, "Adolescent (13-19)",
IF(Table1[[#This Row],[Age]]&lt;=35, "Young adult (20-35)",
IF(Table1[[#This Row],[Age]]&lt;=59, "Adult (36-59)", "Elderly (60-90)")))))</f>
        <v>Adult (36-59)</v>
      </c>
      <c r="E224" t="s">
        <v>19</v>
      </c>
      <c r="F224">
        <v>1</v>
      </c>
      <c r="G224" t="str">
        <f>IF(Table1[[#This Row],[Admission_Days]]&lt;=5, "Immediate (1-5)",
IF(Table1[[#This Row],[Admission_Days]]&lt;=10, "Short-term (6-10)",
IF(Table1[[#This Row],[Admission_Days]]&lt;=15, "Medium-term (11-15)", "Long-term (16-20)")))</f>
        <v>Immediate (1-5)</v>
      </c>
      <c r="H224" t="s">
        <v>21</v>
      </c>
      <c r="I224">
        <v>0</v>
      </c>
      <c r="J224">
        <v>7</v>
      </c>
      <c r="K224" s="1">
        <v>600000</v>
      </c>
      <c r="L224" t="str">
        <f>IF(Table1[[#This Row],[Surgery_Cost_NGN]]&gt;0, "Yes", "No")</f>
        <v>Yes</v>
      </c>
      <c r="M224" s="1">
        <v>676766</v>
      </c>
      <c r="N224" t="str">
        <f>IF(Table1[[#This Row],[Surgery_Cost_NGN]]&gt;Table1[[#This Row],[Bill_Amount_NGN]], "Anomaly detected", "Valid")</f>
        <v>Valid</v>
      </c>
      <c r="O224" s="1">
        <f t="shared" si="3"/>
        <v>88.656936075393858</v>
      </c>
    </row>
    <row r="225" spans="1:15" x14ac:dyDescent="0.35">
      <c r="A225" t="s">
        <v>287</v>
      </c>
      <c r="B225" t="s">
        <v>13</v>
      </c>
      <c r="C225">
        <v>29</v>
      </c>
      <c r="D225" t="str">
        <f>IF(Table1[[#This Row],[Age]]&lt;=4, "Toddler (0-4)",
IF(Table1[[#This Row],[Age]]&lt;=12, "Child (5-12)",
IF(Table1[[#This Row],[Age]]&lt;=19, "Adolescent (13-19)",
IF(Table1[[#This Row],[Age]]&lt;=35, "Young adult (20-35)",
IF(Table1[[#This Row],[Age]]&lt;=59, "Adult (36-59)", "Elderly (60-90)")))))</f>
        <v>Young adult (20-35)</v>
      </c>
      <c r="E225" t="s">
        <v>14</v>
      </c>
      <c r="F225">
        <v>5</v>
      </c>
      <c r="G225" t="str">
        <f>IF(Table1[[#This Row],[Admission_Days]]&lt;=5, "Immediate (1-5)",
IF(Table1[[#This Row],[Admission_Days]]&lt;=10, "Short-term (6-10)",
IF(Table1[[#This Row],[Admission_Days]]&lt;=15, "Medium-term (11-15)", "Long-term (16-20)")))</f>
        <v>Immediate (1-5)</v>
      </c>
      <c r="H225" t="s">
        <v>15</v>
      </c>
      <c r="I225">
        <v>5</v>
      </c>
      <c r="J225">
        <v>7</v>
      </c>
      <c r="K225" s="1">
        <v>0</v>
      </c>
      <c r="L225" t="str">
        <f>IF(Table1[[#This Row],[Surgery_Cost_NGN]]&gt;0, "Yes", "No")</f>
        <v>No</v>
      </c>
      <c r="M225" s="1">
        <v>152015</v>
      </c>
      <c r="N225" t="str">
        <f>IF(Table1[[#This Row],[Surgery_Cost_NGN]]&gt;Table1[[#This Row],[Bill_Amount_NGN]], "Anomaly detected", "Valid")</f>
        <v>Valid</v>
      </c>
      <c r="O225" s="1">
        <f t="shared" si="3"/>
        <v>0</v>
      </c>
    </row>
    <row r="226" spans="1:15" x14ac:dyDescent="0.35">
      <c r="A226" t="s">
        <v>288</v>
      </c>
      <c r="B226" t="s">
        <v>13</v>
      </c>
      <c r="C226">
        <v>78</v>
      </c>
      <c r="D226" t="str">
        <f>IF(Table1[[#This Row],[Age]]&lt;=4, "Toddler (0-4)",
IF(Table1[[#This Row],[Age]]&lt;=12, "Child (5-12)",
IF(Table1[[#This Row],[Age]]&lt;=19, "Adolescent (13-19)",
IF(Table1[[#This Row],[Age]]&lt;=35, "Young adult (20-35)",
IF(Table1[[#This Row],[Age]]&lt;=59, "Adult (36-59)", "Elderly (60-90)")))))</f>
        <v>Elderly (60-90)</v>
      </c>
      <c r="E226" t="s">
        <v>19</v>
      </c>
      <c r="F226">
        <v>1</v>
      </c>
      <c r="G226" t="str">
        <f>IF(Table1[[#This Row],[Admission_Days]]&lt;=5, "Immediate (1-5)",
IF(Table1[[#This Row],[Admission_Days]]&lt;=10, "Short-term (6-10)",
IF(Table1[[#This Row],[Admission_Days]]&lt;=15, "Medium-term (11-15)", "Long-term (16-20)")))</f>
        <v>Immediate (1-5)</v>
      </c>
      <c r="H226" t="s">
        <v>12</v>
      </c>
      <c r="I226">
        <v>2</v>
      </c>
      <c r="J226">
        <v>2</v>
      </c>
      <c r="K226" s="1">
        <v>250000</v>
      </c>
      <c r="L226" t="str">
        <f>IF(Table1[[#This Row],[Surgery_Cost_NGN]]&gt;0, "Yes", "No")</f>
        <v>Yes</v>
      </c>
      <c r="M226" s="1">
        <v>303246</v>
      </c>
      <c r="N226" t="str">
        <f>IF(Table1[[#This Row],[Surgery_Cost_NGN]]&gt;Table1[[#This Row],[Bill_Amount_NGN]], "Anomaly detected", "Valid")</f>
        <v>Valid</v>
      </c>
      <c r="O226" s="1">
        <f t="shared" si="3"/>
        <v>82.441318269655667</v>
      </c>
    </row>
    <row r="227" spans="1:15" x14ac:dyDescent="0.35">
      <c r="A227" t="s">
        <v>289</v>
      </c>
      <c r="B227" t="s">
        <v>13</v>
      </c>
      <c r="C227">
        <v>69</v>
      </c>
      <c r="D227" t="str">
        <f>IF(Table1[[#This Row],[Age]]&lt;=4, "Toddler (0-4)",
IF(Table1[[#This Row],[Age]]&lt;=12, "Child (5-12)",
IF(Table1[[#This Row],[Age]]&lt;=19, "Adolescent (13-19)",
IF(Table1[[#This Row],[Age]]&lt;=35, "Young adult (20-35)",
IF(Table1[[#This Row],[Age]]&lt;=59, "Adult (36-59)", "Elderly (60-90)")))))</f>
        <v>Elderly (60-90)</v>
      </c>
      <c r="E227" t="s">
        <v>14</v>
      </c>
      <c r="F227">
        <v>4</v>
      </c>
      <c r="G227" t="str">
        <f>IF(Table1[[#This Row],[Admission_Days]]&lt;=5, "Immediate (1-5)",
IF(Table1[[#This Row],[Admission_Days]]&lt;=10, "Short-term (6-10)",
IF(Table1[[#This Row],[Admission_Days]]&lt;=15, "Medium-term (11-15)", "Long-term (16-20)")))</f>
        <v>Immediate (1-5)</v>
      </c>
      <c r="H227" t="s">
        <v>12</v>
      </c>
      <c r="I227">
        <v>2</v>
      </c>
      <c r="J227">
        <v>2</v>
      </c>
      <c r="K227" s="1">
        <v>150000</v>
      </c>
      <c r="L227" t="str">
        <f>IF(Table1[[#This Row],[Surgery_Cost_NGN]]&gt;0, "Yes", "No")</f>
        <v>Yes</v>
      </c>
      <c r="M227" s="1">
        <v>240408</v>
      </c>
      <c r="N227" t="str">
        <f>IF(Table1[[#This Row],[Surgery_Cost_NGN]]&gt;Table1[[#This Row],[Bill_Amount_NGN]], "Anomaly detected", "Valid")</f>
        <v>Valid</v>
      </c>
      <c r="O227" s="1">
        <f t="shared" si="3"/>
        <v>62.393930318458622</v>
      </c>
    </row>
    <row r="228" spans="1:15" x14ac:dyDescent="0.35">
      <c r="A228" t="s">
        <v>290</v>
      </c>
      <c r="B228" t="s">
        <v>10</v>
      </c>
      <c r="C228">
        <v>47</v>
      </c>
      <c r="D228" t="str">
        <f>IF(Table1[[#This Row],[Age]]&lt;=4, "Toddler (0-4)",
IF(Table1[[#This Row],[Age]]&lt;=12, "Child (5-12)",
IF(Table1[[#This Row],[Age]]&lt;=19, "Adolescent (13-19)",
IF(Table1[[#This Row],[Age]]&lt;=35, "Young adult (20-35)",
IF(Table1[[#This Row],[Age]]&lt;=59, "Adult (36-59)", "Elderly (60-90)")))))</f>
        <v>Adult (36-59)</v>
      </c>
      <c r="E228" t="s">
        <v>16</v>
      </c>
      <c r="F228">
        <v>2</v>
      </c>
      <c r="G228" t="str">
        <f>IF(Table1[[#This Row],[Admission_Days]]&lt;=5, "Immediate (1-5)",
IF(Table1[[#This Row],[Admission_Days]]&lt;=10, "Short-term (6-10)",
IF(Table1[[#This Row],[Admission_Days]]&lt;=15, "Medium-term (11-15)", "Long-term (16-20)")))</f>
        <v>Immediate (1-5)</v>
      </c>
      <c r="H228" t="s">
        <v>17</v>
      </c>
      <c r="I228">
        <v>1</v>
      </c>
      <c r="J228">
        <v>1</v>
      </c>
      <c r="K228" s="1">
        <v>400000</v>
      </c>
      <c r="L228" t="str">
        <f>IF(Table1[[#This Row],[Surgery_Cost_NGN]]&gt;0, "Yes", "No")</f>
        <v>Yes</v>
      </c>
      <c r="M228" s="1">
        <v>445451</v>
      </c>
      <c r="N228" t="str">
        <f>IF(Table1[[#This Row],[Surgery_Cost_NGN]]&gt;Table1[[#This Row],[Bill_Amount_NGN]], "Anomaly detected", "Valid")</f>
        <v>Valid</v>
      </c>
      <c r="O228" s="1">
        <f t="shared" si="3"/>
        <v>89.796633075242852</v>
      </c>
    </row>
    <row r="229" spans="1:15" x14ac:dyDescent="0.35">
      <c r="A229" t="s">
        <v>291</v>
      </c>
      <c r="B229" t="s">
        <v>13</v>
      </c>
      <c r="C229">
        <v>62</v>
      </c>
      <c r="D229" t="str">
        <f>IF(Table1[[#This Row],[Age]]&lt;=4, "Toddler (0-4)",
IF(Table1[[#This Row],[Age]]&lt;=12, "Child (5-12)",
IF(Table1[[#This Row],[Age]]&lt;=19, "Adolescent (13-19)",
IF(Table1[[#This Row],[Age]]&lt;=35, "Young adult (20-35)",
IF(Table1[[#This Row],[Age]]&lt;=59, "Adult (36-59)", "Elderly (60-90)")))))</f>
        <v>Elderly (60-90)</v>
      </c>
      <c r="E229" t="s">
        <v>11</v>
      </c>
      <c r="F229">
        <v>10</v>
      </c>
      <c r="G229" t="str">
        <f>IF(Table1[[#This Row],[Admission_Days]]&lt;=5, "Immediate (1-5)",
IF(Table1[[#This Row],[Admission_Days]]&lt;=10, "Short-term (6-10)",
IF(Table1[[#This Row],[Admission_Days]]&lt;=15, "Medium-term (11-15)", "Long-term (16-20)")))</f>
        <v>Short-term (6-10)</v>
      </c>
      <c r="H229" t="s">
        <v>21</v>
      </c>
      <c r="I229">
        <v>1</v>
      </c>
      <c r="J229">
        <v>8</v>
      </c>
      <c r="K229" s="1">
        <v>150000</v>
      </c>
      <c r="L229" t="str">
        <f>IF(Table1[[#This Row],[Surgery_Cost_NGN]]&gt;0, "Yes", "No")</f>
        <v>Yes</v>
      </c>
      <c r="M229" s="1">
        <v>298441</v>
      </c>
      <c r="N229" t="str">
        <f>IF(Table1[[#This Row],[Surgery_Cost_NGN]]&gt;Table1[[#This Row],[Bill_Amount_NGN]], "Anomaly detected", "Valid")</f>
        <v>Valid</v>
      </c>
      <c r="O229" s="1">
        <f t="shared" si="3"/>
        <v>50.261190654099131</v>
      </c>
    </row>
    <row r="230" spans="1:15" x14ac:dyDescent="0.35">
      <c r="A230" t="s">
        <v>292</v>
      </c>
      <c r="B230" t="s">
        <v>10</v>
      </c>
      <c r="C230">
        <v>69</v>
      </c>
      <c r="D230" t="str">
        <f>IF(Table1[[#This Row],[Age]]&lt;=4, "Toddler (0-4)",
IF(Table1[[#This Row],[Age]]&lt;=12, "Child (5-12)",
IF(Table1[[#This Row],[Age]]&lt;=19, "Adolescent (13-19)",
IF(Table1[[#This Row],[Age]]&lt;=35, "Young adult (20-35)",
IF(Table1[[#This Row],[Age]]&lt;=59, "Adult (36-59)", "Elderly (60-90)")))))</f>
        <v>Elderly (60-90)</v>
      </c>
      <c r="E230" t="s">
        <v>11</v>
      </c>
      <c r="F230">
        <v>5</v>
      </c>
      <c r="G230" t="str">
        <f>IF(Table1[[#This Row],[Admission_Days]]&lt;=5, "Immediate (1-5)",
IF(Table1[[#This Row],[Admission_Days]]&lt;=10, "Short-term (6-10)",
IF(Table1[[#This Row],[Admission_Days]]&lt;=15, "Medium-term (11-15)", "Long-term (16-20)")))</f>
        <v>Immediate (1-5)</v>
      </c>
      <c r="H230" t="s">
        <v>17</v>
      </c>
      <c r="I230">
        <v>1</v>
      </c>
      <c r="J230">
        <v>8</v>
      </c>
      <c r="K230" s="1">
        <v>0</v>
      </c>
      <c r="L230" t="str">
        <f>IF(Table1[[#This Row],[Surgery_Cost_NGN]]&gt;0, "Yes", "No")</f>
        <v>No</v>
      </c>
      <c r="M230" s="1">
        <v>101909</v>
      </c>
      <c r="N230" t="str">
        <f>IF(Table1[[#This Row],[Surgery_Cost_NGN]]&gt;Table1[[#This Row],[Bill_Amount_NGN]], "Anomaly detected", "Valid")</f>
        <v>Valid</v>
      </c>
      <c r="O230" s="1">
        <f t="shared" si="3"/>
        <v>0</v>
      </c>
    </row>
    <row r="231" spans="1:15" x14ac:dyDescent="0.35">
      <c r="A231" t="s">
        <v>293</v>
      </c>
      <c r="B231" t="s">
        <v>10</v>
      </c>
      <c r="C231">
        <v>76</v>
      </c>
      <c r="D231" t="str">
        <f>IF(Table1[[#This Row],[Age]]&lt;=4, "Toddler (0-4)",
IF(Table1[[#This Row],[Age]]&lt;=12, "Child (5-12)",
IF(Table1[[#This Row],[Age]]&lt;=19, "Adolescent (13-19)",
IF(Table1[[#This Row],[Age]]&lt;=35, "Young adult (20-35)",
IF(Table1[[#This Row],[Age]]&lt;=59, "Adult (36-59)", "Elderly (60-90)")))))</f>
        <v>Elderly (60-90)</v>
      </c>
      <c r="E231" t="s">
        <v>20</v>
      </c>
      <c r="F231">
        <v>10</v>
      </c>
      <c r="G231" t="str">
        <f>IF(Table1[[#This Row],[Admission_Days]]&lt;=5, "Immediate (1-5)",
IF(Table1[[#This Row],[Admission_Days]]&lt;=10, "Short-term (6-10)",
IF(Table1[[#This Row],[Admission_Days]]&lt;=15, "Medium-term (11-15)", "Long-term (16-20)")))</f>
        <v>Short-term (6-10)</v>
      </c>
      <c r="H231" t="s">
        <v>18</v>
      </c>
      <c r="I231">
        <v>5</v>
      </c>
      <c r="J231">
        <v>1</v>
      </c>
      <c r="K231" s="1">
        <v>250000</v>
      </c>
      <c r="L231" t="str">
        <f>IF(Table1[[#This Row],[Surgery_Cost_NGN]]&gt;0, "Yes", "No")</f>
        <v>Yes</v>
      </c>
      <c r="M231" s="1">
        <v>365302</v>
      </c>
      <c r="N231" t="str">
        <f>IF(Table1[[#This Row],[Surgery_Cost_NGN]]&gt;Table1[[#This Row],[Bill_Amount_NGN]], "Anomaly detected", "Valid")</f>
        <v>Valid</v>
      </c>
      <c r="O231" s="1">
        <f t="shared" si="3"/>
        <v>68.436526490410671</v>
      </c>
    </row>
    <row r="232" spans="1:15" x14ac:dyDescent="0.35">
      <c r="A232" t="s">
        <v>294</v>
      </c>
      <c r="B232" t="s">
        <v>13</v>
      </c>
      <c r="C232">
        <v>16</v>
      </c>
      <c r="D232" t="str">
        <f>IF(Table1[[#This Row],[Age]]&lt;=4, "Toddler (0-4)",
IF(Table1[[#This Row],[Age]]&lt;=12, "Child (5-12)",
IF(Table1[[#This Row],[Age]]&lt;=19, "Adolescent (13-19)",
IF(Table1[[#This Row],[Age]]&lt;=35, "Young adult (20-35)",
IF(Table1[[#This Row],[Age]]&lt;=59, "Adult (36-59)", "Elderly (60-90)")))))</f>
        <v>Adolescent (13-19)</v>
      </c>
      <c r="E232" t="s">
        <v>19</v>
      </c>
      <c r="F232">
        <v>1</v>
      </c>
      <c r="G232" t="str">
        <f>IF(Table1[[#This Row],[Admission_Days]]&lt;=5, "Immediate (1-5)",
IF(Table1[[#This Row],[Admission_Days]]&lt;=10, "Short-term (6-10)",
IF(Table1[[#This Row],[Admission_Days]]&lt;=15, "Medium-term (11-15)", "Long-term (16-20)")))</f>
        <v>Immediate (1-5)</v>
      </c>
      <c r="H232" t="s">
        <v>17</v>
      </c>
      <c r="I232">
        <v>1</v>
      </c>
      <c r="J232">
        <v>8</v>
      </c>
      <c r="K232" s="1">
        <v>400000</v>
      </c>
      <c r="L232" t="str">
        <f>IF(Table1[[#This Row],[Surgery_Cost_NGN]]&gt;0, "Yes", "No")</f>
        <v>Yes</v>
      </c>
      <c r="M232" s="1">
        <v>487279</v>
      </c>
      <c r="N232" t="str">
        <f>IF(Table1[[#This Row],[Surgery_Cost_NGN]]&gt;Table1[[#This Row],[Bill_Amount_NGN]], "Anomaly detected", "Valid")</f>
        <v>Valid</v>
      </c>
      <c r="O232" s="1">
        <f t="shared" si="3"/>
        <v>82.088495502576549</v>
      </c>
    </row>
    <row r="233" spans="1:15" x14ac:dyDescent="0.35">
      <c r="A233" t="s">
        <v>295</v>
      </c>
      <c r="B233" t="s">
        <v>13</v>
      </c>
      <c r="C233">
        <v>48</v>
      </c>
      <c r="D233" t="str">
        <f>IF(Table1[[#This Row],[Age]]&lt;=4, "Toddler (0-4)",
IF(Table1[[#This Row],[Age]]&lt;=12, "Child (5-12)",
IF(Table1[[#This Row],[Age]]&lt;=19, "Adolescent (13-19)",
IF(Table1[[#This Row],[Age]]&lt;=35, "Young adult (20-35)",
IF(Table1[[#This Row],[Age]]&lt;=59, "Adult (36-59)", "Elderly (60-90)")))))</f>
        <v>Adult (36-59)</v>
      </c>
      <c r="E233" t="s">
        <v>14</v>
      </c>
      <c r="F233">
        <v>6</v>
      </c>
      <c r="G233" t="str">
        <f>IF(Table1[[#This Row],[Admission_Days]]&lt;=5, "Immediate (1-5)",
IF(Table1[[#This Row],[Admission_Days]]&lt;=10, "Short-term (6-10)",
IF(Table1[[#This Row],[Admission_Days]]&lt;=15, "Medium-term (11-15)", "Long-term (16-20)")))</f>
        <v>Short-term (6-10)</v>
      </c>
      <c r="H233" t="s">
        <v>17</v>
      </c>
      <c r="I233">
        <v>4</v>
      </c>
      <c r="J233">
        <v>9</v>
      </c>
      <c r="K233" s="1">
        <v>150000</v>
      </c>
      <c r="L233" t="str">
        <f>IF(Table1[[#This Row],[Surgery_Cost_NGN]]&gt;0, "Yes", "No")</f>
        <v>Yes</v>
      </c>
      <c r="M233" s="1">
        <v>305104</v>
      </c>
      <c r="N233" t="str">
        <f>IF(Table1[[#This Row],[Surgery_Cost_NGN]]&gt;Table1[[#This Row],[Bill_Amount_NGN]], "Anomaly detected", "Valid")</f>
        <v>Valid</v>
      </c>
      <c r="O233" s="1">
        <f t="shared" si="3"/>
        <v>49.163563899522785</v>
      </c>
    </row>
    <row r="234" spans="1:15" x14ac:dyDescent="0.35">
      <c r="A234" t="s">
        <v>296</v>
      </c>
      <c r="B234" t="s">
        <v>13</v>
      </c>
      <c r="C234">
        <v>39</v>
      </c>
      <c r="D234" t="str">
        <f>IF(Table1[[#This Row],[Age]]&lt;=4, "Toddler (0-4)",
IF(Table1[[#This Row],[Age]]&lt;=12, "Child (5-12)",
IF(Table1[[#This Row],[Age]]&lt;=19, "Adolescent (13-19)",
IF(Table1[[#This Row],[Age]]&lt;=35, "Young adult (20-35)",
IF(Table1[[#This Row],[Age]]&lt;=59, "Adult (36-59)", "Elderly (60-90)")))))</f>
        <v>Adult (36-59)</v>
      </c>
      <c r="E234" t="s">
        <v>14</v>
      </c>
      <c r="F234">
        <v>13</v>
      </c>
      <c r="G234" t="str">
        <f>IF(Table1[[#This Row],[Admission_Days]]&lt;=5, "Immediate (1-5)",
IF(Table1[[#This Row],[Admission_Days]]&lt;=10, "Short-term (6-10)",
IF(Table1[[#This Row],[Admission_Days]]&lt;=15, "Medium-term (11-15)", "Long-term (16-20)")))</f>
        <v>Medium-term (11-15)</v>
      </c>
      <c r="H234" t="s">
        <v>15</v>
      </c>
      <c r="I234">
        <v>3</v>
      </c>
      <c r="J234">
        <v>4</v>
      </c>
      <c r="K234" s="1">
        <v>0</v>
      </c>
      <c r="L234" t="str">
        <f>IF(Table1[[#This Row],[Surgery_Cost_NGN]]&gt;0, "Yes", "No")</f>
        <v>No</v>
      </c>
      <c r="M234" s="1">
        <v>203668</v>
      </c>
      <c r="N234" t="str">
        <f>IF(Table1[[#This Row],[Surgery_Cost_NGN]]&gt;Table1[[#This Row],[Bill_Amount_NGN]], "Anomaly detected", "Valid")</f>
        <v>Valid</v>
      </c>
      <c r="O234" s="1">
        <f t="shared" si="3"/>
        <v>0</v>
      </c>
    </row>
    <row r="235" spans="1:15" x14ac:dyDescent="0.35">
      <c r="A235" t="s">
        <v>297</v>
      </c>
      <c r="B235" t="s">
        <v>13</v>
      </c>
      <c r="C235">
        <v>33</v>
      </c>
      <c r="D235" t="str">
        <f>IF(Table1[[#This Row],[Age]]&lt;=4, "Toddler (0-4)",
IF(Table1[[#This Row],[Age]]&lt;=12, "Child (5-12)",
IF(Table1[[#This Row],[Age]]&lt;=19, "Adolescent (13-19)",
IF(Table1[[#This Row],[Age]]&lt;=35, "Young adult (20-35)",
IF(Table1[[#This Row],[Age]]&lt;=59, "Adult (36-59)", "Elderly (60-90)")))))</f>
        <v>Young adult (20-35)</v>
      </c>
      <c r="E235" t="s">
        <v>22</v>
      </c>
      <c r="F235">
        <v>15</v>
      </c>
      <c r="G235" t="str">
        <f>IF(Table1[[#This Row],[Admission_Days]]&lt;=5, "Immediate (1-5)",
IF(Table1[[#This Row],[Admission_Days]]&lt;=10, "Short-term (6-10)",
IF(Table1[[#This Row],[Admission_Days]]&lt;=15, "Medium-term (11-15)", "Long-term (16-20)")))</f>
        <v>Medium-term (11-15)</v>
      </c>
      <c r="H235" t="s">
        <v>12</v>
      </c>
      <c r="I235">
        <v>0</v>
      </c>
      <c r="J235">
        <v>1</v>
      </c>
      <c r="K235" s="1">
        <v>600000</v>
      </c>
      <c r="L235" t="str">
        <f>IF(Table1[[#This Row],[Surgery_Cost_NGN]]&gt;0, "Yes", "No")</f>
        <v>Yes</v>
      </c>
      <c r="M235" s="1">
        <v>823240</v>
      </c>
      <c r="N235" t="str">
        <f>IF(Table1[[#This Row],[Surgery_Cost_NGN]]&gt;Table1[[#This Row],[Bill_Amount_NGN]], "Anomaly detected", "Valid")</f>
        <v>Valid</v>
      </c>
      <c r="O235" s="1">
        <f t="shared" si="3"/>
        <v>72.882755939944616</v>
      </c>
    </row>
    <row r="236" spans="1:15" x14ac:dyDescent="0.35">
      <c r="A236" t="s">
        <v>298</v>
      </c>
      <c r="B236" t="s">
        <v>13</v>
      </c>
      <c r="C236">
        <v>23</v>
      </c>
      <c r="D236" t="str">
        <f>IF(Table1[[#This Row],[Age]]&lt;=4, "Toddler (0-4)",
IF(Table1[[#This Row],[Age]]&lt;=12, "Child (5-12)",
IF(Table1[[#This Row],[Age]]&lt;=19, "Adolescent (13-19)",
IF(Table1[[#This Row],[Age]]&lt;=35, "Young adult (20-35)",
IF(Table1[[#This Row],[Age]]&lt;=59, "Adult (36-59)", "Elderly (60-90)")))))</f>
        <v>Young adult (20-35)</v>
      </c>
      <c r="E236" t="s">
        <v>20</v>
      </c>
      <c r="F236">
        <v>4</v>
      </c>
      <c r="G236" t="str">
        <f>IF(Table1[[#This Row],[Admission_Days]]&lt;=5, "Immediate (1-5)",
IF(Table1[[#This Row],[Admission_Days]]&lt;=10, "Short-term (6-10)",
IF(Table1[[#This Row],[Admission_Days]]&lt;=15, "Medium-term (11-15)", "Long-term (16-20)")))</f>
        <v>Immediate (1-5)</v>
      </c>
      <c r="H236" t="s">
        <v>21</v>
      </c>
      <c r="I236">
        <v>2</v>
      </c>
      <c r="J236">
        <v>1</v>
      </c>
      <c r="K236" s="1">
        <v>0</v>
      </c>
      <c r="L236" t="str">
        <f>IF(Table1[[#This Row],[Surgery_Cost_NGN]]&gt;0, "Yes", "No")</f>
        <v>No</v>
      </c>
      <c r="M236" s="1">
        <v>95374</v>
      </c>
      <c r="N236" t="str">
        <f>IF(Table1[[#This Row],[Surgery_Cost_NGN]]&gt;Table1[[#This Row],[Bill_Amount_NGN]], "Anomaly detected", "Valid")</f>
        <v>Valid</v>
      </c>
      <c r="O236" s="1">
        <f t="shared" si="3"/>
        <v>0</v>
      </c>
    </row>
    <row r="237" spans="1:15" x14ac:dyDescent="0.35">
      <c r="A237" t="s">
        <v>299</v>
      </c>
      <c r="B237" t="s">
        <v>13</v>
      </c>
      <c r="C237">
        <v>10</v>
      </c>
      <c r="D237" t="str">
        <f>IF(Table1[[#This Row],[Age]]&lt;=4, "Toddler (0-4)",
IF(Table1[[#This Row],[Age]]&lt;=12, "Child (5-12)",
IF(Table1[[#This Row],[Age]]&lt;=19, "Adolescent (13-19)",
IF(Table1[[#This Row],[Age]]&lt;=35, "Young adult (20-35)",
IF(Table1[[#This Row],[Age]]&lt;=59, "Adult (36-59)", "Elderly (60-90)")))))</f>
        <v>Child (5-12)</v>
      </c>
      <c r="E237" t="s">
        <v>22</v>
      </c>
      <c r="F237">
        <v>13</v>
      </c>
      <c r="G237" t="str">
        <f>IF(Table1[[#This Row],[Admission_Days]]&lt;=5, "Immediate (1-5)",
IF(Table1[[#This Row],[Admission_Days]]&lt;=10, "Short-term (6-10)",
IF(Table1[[#This Row],[Admission_Days]]&lt;=15, "Medium-term (11-15)", "Long-term (16-20)")))</f>
        <v>Medium-term (11-15)</v>
      </c>
      <c r="H237" t="s">
        <v>17</v>
      </c>
      <c r="I237">
        <v>4</v>
      </c>
      <c r="J237">
        <v>3</v>
      </c>
      <c r="K237" s="1">
        <v>250000</v>
      </c>
      <c r="L237" t="str">
        <f>IF(Table1[[#This Row],[Surgery_Cost_NGN]]&gt;0, "Yes", "No")</f>
        <v>Yes</v>
      </c>
      <c r="M237" s="1">
        <v>416561</v>
      </c>
      <c r="N237" t="str">
        <f>IF(Table1[[#This Row],[Surgery_Cost_NGN]]&gt;Table1[[#This Row],[Bill_Amount_NGN]], "Anomaly detected", "Valid")</f>
        <v>Valid</v>
      </c>
      <c r="O237" s="1">
        <f t="shared" si="3"/>
        <v>60.015219859756428</v>
      </c>
    </row>
    <row r="238" spans="1:15" x14ac:dyDescent="0.35">
      <c r="A238" t="s">
        <v>300</v>
      </c>
      <c r="B238" t="s">
        <v>13</v>
      </c>
      <c r="C238">
        <v>69</v>
      </c>
      <c r="D238" t="str">
        <f>IF(Table1[[#This Row],[Age]]&lt;=4, "Toddler (0-4)",
IF(Table1[[#This Row],[Age]]&lt;=12, "Child (5-12)",
IF(Table1[[#This Row],[Age]]&lt;=19, "Adolescent (13-19)",
IF(Table1[[#This Row],[Age]]&lt;=35, "Young adult (20-35)",
IF(Table1[[#This Row],[Age]]&lt;=59, "Adult (36-59)", "Elderly (60-90)")))))</f>
        <v>Elderly (60-90)</v>
      </c>
      <c r="E238" t="s">
        <v>22</v>
      </c>
      <c r="F238">
        <v>20</v>
      </c>
      <c r="G238" t="str">
        <f>IF(Table1[[#This Row],[Admission_Days]]&lt;=5, "Immediate (1-5)",
IF(Table1[[#This Row],[Admission_Days]]&lt;=10, "Short-term (6-10)",
IF(Table1[[#This Row],[Admission_Days]]&lt;=15, "Medium-term (11-15)", "Long-term (16-20)")))</f>
        <v>Long-term (16-20)</v>
      </c>
      <c r="H238" t="s">
        <v>21</v>
      </c>
      <c r="I238">
        <v>0</v>
      </c>
      <c r="J238">
        <v>5</v>
      </c>
      <c r="K238" s="1">
        <v>0</v>
      </c>
      <c r="L238" t="str">
        <f>IF(Table1[[#This Row],[Surgery_Cost_NGN]]&gt;0, "Yes", "No")</f>
        <v>No</v>
      </c>
      <c r="M238" s="1">
        <v>241285</v>
      </c>
      <c r="N238" t="str">
        <f>IF(Table1[[#This Row],[Surgery_Cost_NGN]]&gt;Table1[[#This Row],[Bill_Amount_NGN]], "Anomaly detected", "Valid")</f>
        <v>Valid</v>
      </c>
      <c r="O238" s="1">
        <f t="shared" si="3"/>
        <v>0</v>
      </c>
    </row>
    <row r="239" spans="1:15" x14ac:dyDescent="0.35">
      <c r="A239" t="s">
        <v>301</v>
      </c>
      <c r="B239" t="s">
        <v>13</v>
      </c>
      <c r="C239">
        <v>34</v>
      </c>
      <c r="D239" t="str">
        <f>IF(Table1[[#This Row],[Age]]&lt;=4, "Toddler (0-4)",
IF(Table1[[#This Row],[Age]]&lt;=12, "Child (5-12)",
IF(Table1[[#This Row],[Age]]&lt;=19, "Adolescent (13-19)",
IF(Table1[[#This Row],[Age]]&lt;=35, "Young adult (20-35)",
IF(Table1[[#This Row],[Age]]&lt;=59, "Adult (36-59)", "Elderly (60-90)")))))</f>
        <v>Young adult (20-35)</v>
      </c>
      <c r="E239" t="s">
        <v>22</v>
      </c>
      <c r="F239">
        <v>15</v>
      </c>
      <c r="G239" t="str">
        <f>IF(Table1[[#This Row],[Admission_Days]]&lt;=5, "Immediate (1-5)",
IF(Table1[[#This Row],[Admission_Days]]&lt;=10, "Short-term (6-10)",
IF(Table1[[#This Row],[Admission_Days]]&lt;=15, "Medium-term (11-15)", "Long-term (16-20)")))</f>
        <v>Medium-term (11-15)</v>
      </c>
      <c r="H239" t="s">
        <v>17</v>
      </c>
      <c r="I239">
        <v>4</v>
      </c>
      <c r="J239">
        <v>5</v>
      </c>
      <c r="K239" s="1">
        <v>0</v>
      </c>
      <c r="L239" t="str">
        <f>IF(Table1[[#This Row],[Surgery_Cost_NGN]]&gt;0, "Yes", "No")</f>
        <v>No</v>
      </c>
      <c r="M239" s="1">
        <v>284937</v>
      </c>
      <c r="N239" t="str">
        <f>IF(Table1[[#This Row],[Surgery_Cost_NGN]]&gt;Table1[[#This Row],[Bill_Amount_NGN]], "Anomaly detected", "Valid")</f>
        <v>Valid</v>
      </c>
      <c r="O239" s="1">
        <f t="shared" si="3"/>
        <v>0</v>
      </c>
    </row>
    <row r="240" spans="1:15" x14ac:dyDescent="0.35">
      <c r="A240" t="s">
        <v>302</v>
      </c>
      <c r="B240" t="s">
        <v>10</v>
      </c>
      <c r="C240">
        <v>52</v>
      </c>
      <c r="D240" t="str">
        <f>IF(Table1[[#This Row],[Age]]&lt;=4, "Toddler (0-4)",
IF(Table1[[#This Row],[Age]]&lt;=12, "Child (5-12)",
IF(Table1[[#This Row],[Age]]&lt;=19, "Adolescent (13-19)",
IF(Table1[[#This Row],[Age]]&lt;=35, "Young adult (20-35)",
IF(Table1[[#This Row],[Age]]&lt;=59, "Adult (36-59)", "Elderly (60-90)")))))</f>
        <v>Adult (36-59)</v>
      </c>
      <c r="E240" t="s">
        <v>19</v>
      </c>
      <c r="F240">
        <v>8</v>
      </c>
      <c r="G240" t="str">
        <f>IF(Table1[[#This Row],[Admission_Days]]&lt;=5, "Immediate (1-5)",
IF(Table1[[#This Row],[Admission_Days]]&lt;=10, "Short-term (6-10)",
IF(Table1[[#This Row],[Admission_Days]]&lt;=15, "Medium-term (11-15)", "Long-term (16-20)")))</f>
        <v>Short-term (6-10)</v>
      </c>
      <c r="H240" t="s">
        <v>18</v>
      </c>
      <c r="I240">
        <v>4</v>
      </c>
      <c r="J240">
        <v>9</v>
      </c>
      <c r="K240" s="1">
        <v>250000</v>
      </c>
      <c r="L240" t="str">
        <f>IF(Table1[[#This Row],[Surgery_Cost_NGN]]&gt;0, "Yes", "No")</f>
        <v>Yes</v>
      </c>
      <c r="M240" s="1">
        <v>437459</v>
      </c>
      <c r="N240" t="str">
        <f>IF(Table1[[#This Row],[Surgery_Cost_NGN]]&gt;Table1[[#This Row],[Bill_Amount_NGN]], "Anomaly detected", "Valid")</f>
        <v>Valid</v>
      </c>
      <c r="O240" s="1">
        <f t="shared" si="3"/>
        <v>57.148212746794556</v>
      </c>
    </row>
    <row r="241" spans="1:15" x14ac:dyDescent="0.35">
      <c r="A241" t="s">
        <v>303</v>
      </c>
      <c r="B241" t="s">
        <v>13</v>
      </c>
      <c r="C241">
        <v>10</v>
      </c>
      <c r="D241" t="str">
        <f>IF(Table1[[#This Row],[Age]]&lt;=4, "Toddler (0-4)",
IF(Table1[[#This Row],[Age]]&lt;=12, "Child (5-12)",
IF(Table1[[#This Row],[Age]]&lt;=19, "Adolescent (13-19)",
IF(Table1[[#This Row],[Age]]&lt;=35, "Young adult (20-35)",
IF(Table1[[#This Row],[Age]]&lt;=59, "Adult (36-59)", "Elderly (60-90)")))))</f>
        <v>Child (5-12)</v>
      </c>
      <c r="E241" t="s">
        <v>19</v>
      </c>
      <c r="F241">
        <v>5</v>
      </c>
      <c r="G241" t="str">
        <f>IF(Table1[[#This Row],[Admission_Days]]&lt;=5, "Immediate (1-5)",
IF(Table1[[#This Row],[Admission_Days]]&lt;=10, "Short-term (6-10)",
IF(Table1[[#This Row],[Admission_Days]]&lt;=15, "Medium-term (11-15)", "Long-term (16-20)")))</f>
        <v>Immediate (1-5)</v>
      </c>
      <c r="H241" t="s">
        <v>17</v>
      </c>
      <c r="I241">
        <v>2</v>
      </c>
      <c r="J241">
        <v>2</v>
      </c>
      <c r="K241" s="1">
        <v>0</v>
      </c>
      <c r="L241" t="str">
        <f>IF(Table1[[#This Row],[Surgery_Cost_NGN]]&gt;0, "Yes", "No")</f>
        <v>No</v>
      </c>
      <c r="M241" s="1">
        <v>0</v>
      </c>
      <c r="N241" t="str">
        <f>IF(Table1[[#This Row],[Surgery_Cost_NGN]]&gt;Table1[[#This Row],[Bill_Amount_NGN]], "Anomaly detected", "Valid")</f>
        <v>Valid</v>
      </c>
      <c r="O241" s="1">
        <f t="shared" si="3"/>
        <v>0</v>
      </c>
    </row>
    <row r="242" spans="1:15" x14ac:dyDescent="0.35">
      <c r="A242" t="s">
        <v>304</v>
      </c>
      <c r="B242" t="s">
        <v>13</v>
      </c>
      <c r="C242">
        <v>19</v>
      </c>
      <c r="D242" t="str">
        <f>IF(Table1[[#This Row],[Age]]&lt;=4, "Toddler (0-4)",
IF(Table1[[#This Row],[Age]]&lt;=12, "Child (5-12)",
IF(Table1[[#This Row],[Age]]&lt;=19, "Adolescent (13-19)",
IF(Table1[[#This Row],[Age]]&lt;=35, "Young adult (20-35)",
IF(Table1[[#This Row],[Age]]&lt;=59, "Adult (36-59)", "Elderly (60-90)")))))</f>
        <v>Adolescent (13-19)</v>
      </c>
      <c r="E242" t="s">
        <v>16</v>
      </c>
      <c r="F242">
        <v>15</v>
      </c>
      <c r="G242" t="str">
        <f>IF(Table1[[#This Row],[Admission_Days]]&lt;=5, "Immediate (1-5)",
IF(Table1[[#This Row],[Admission_Days]]&lt;=10, "Short-term (6-10)",
IF(Table1[[#This Row],[Admission_Days]]&lt;=15, "Medium-term (11-15)", "Long-term (16-20)")))</f>
        <v>Medium-term (11-15)</v>
      </c>
      <c r="H242" t="s">
        <v>15</v>
      </c>
      <c r="I242">
        <v>3</v>
      </c>
      <c r="J242">
        <v>2</v>
      </c>
      <c r="K242" s="1">
        <v>0</v>
      </c>
      <c r="L242" t="str">
        <f>IF(Table1[[#This Row],[Surgery_Cost_NGN]]&gt;0, "Yes", "No")</f>
        <v>No</v>
      </c>
      <c r="M242" s="1">
        <v>0</v>
      </c>
      <c r="N242" t="str">
        <f>IF(Table1[[#This Row],[Surgery_Cost_NGN]]&gt;Table1[[#This Row],[Bill_Amount_NGN]], "Anomaly detected", "Valid")</f>
        <v>Valid</v>
      </c>
      <c r="O242" s="1">
        <f t="shared" si="3"/>
        <v>0</v>
      </c>
    </row>
    <row r="243" spans="1:15" x14ac:dyDescent="0.35">
      <c r="A243" t="s">
        <v>305</v>
      </c>
      <c r="B243" t="s">
        <v>10</v>
      </c>
      <c r="C243">
        <v>58</v>
      </c>
      <c r="D243" t="str">
        <f>IF(Table1[[#This Row],[Age]]&lt;=4, "Toddler (0-4)",
IF(Table1[[#This Row],[Age]]&lt;=12, "Child (5-12)",
IF(Table1[[#This Row],[Age]]&lt;=19, "Adolescent (13-19)",
IF(Table1[[#This Row],[Age]]&lt;=35, "Young adult (20-35)",
IF(Table1[[#This Row],[Age]]&lt;=59, "Adult (36-59)", "Elderly (60-90)")))))</f>
        <v>Adult (36-59)</v>
      </c>
      <c r="E243" t="s">
        <v>16</v>
      </c>
      <c r="F243">
        <v>4</v>
      </c>
      <c r="G243" t="str">
        <f>IF(Table1[[#This Row],[Admission_Days]]&lt;=5, "Immediate (1-5)",
IF(Table1[[#This Row],[Admission_Days]]&lt;=10, "Short-term (6-10)",
IF(Table1[[#This Row],[Admission_Days]]&lt;=15, "Medium-term (11-15)", "Long-term (16-20)")))</f>
        <v>Immediate (1-5)</v>
      </c>
      <c r="H243" t="s">
        <v>12</v>
      </c>
      <c r="I243">
        <v>1</v>
      </c>
      <c r="J243">
        <v>6</v>
      </c>
      <c r="K243" s="1">
        <v>0</v>
      </c>
      <c r="L243" t="str">
        <f>IF(Table1[[#This Row],[Surgery_Cost_NGN]]&gt;0, "Yes", "No")</f>
        <v>No</v>
      </c>
      <c r="M243" s="1">
        <v>116097</v>
      </c>
      <c r="N243" t="str">
        <f>IF(Table1[[#This Row],[Surgery_Cost_NGN]]&gt;Table1[[#This Row],[Bill_Amount_NGN]], "Anomaly detected", "Valid")</f>
        <v>Valid</v>
      </c>
      <c r="O243" s="1">
        <f t="shared" si="3"/>
        <v>0</v>
      </c>
    </row>
    <row r="244" spans="1:15" x14ac:dyDescent="0.35">
      <c r="A244" t="s">
        <v>306</v>
      </c>
      <c r="B244" t="s">
        <v>13</v>
      </c>
      <c r="C244">
        <v>1</v>
      </c>
      <c r="D244" t="str">
        <f>IF(Table1[[#This Row],[Age]]&lt;=4, "Toddler (0-4)",
IF(Table1[[#This Row],[Age]]&lt;=12, "Child (5-12)",
IF(Table1[[#This Row],[Age]]&lt;=19, "Adolescent (13-19)",
IF(Table1[[#This Row],[Age]]&lt;=35, "Young adult (20-35)",
IF(Table1[[#This Row],[Age]]&lt;=59, "Adult (36-59)", "Elderly (60-90)")))))</f>
        <v>Toddler (0-4)</v>
      </c>
      <c r="E244" t="s">
        <v>22</v>
      </c>
      <c r="F244">
        <v>12</v>
      </c>
      <c r="G244" t="str">
        <f>IF(Table1[[#This Row],[Admission_Days]]&lt;=5, "Immediate (1-5)",
IF(Table1[[#This Row],[Admission_Days]]&lt;=10, "Short-term (6-10)",
IF(Table1[[#This Row],[Admission_Days]]&lt;=15, "Medium-term (11-15)", "Long-term (16-20)")))</f>
        <v>Medium-term (11-15)</v>
      </c>
      <c r="H244" t="s">
        <v>18</v>
      </c>
      <c r="I244">
        <v>5</v>
      </c>
      <c r="J244">
        <v>9</v>
      </c>
      <c r="K244" s="1">
        <v>0</v>
      </c>
      <c r="L244" t="str">
        <f>IF(Table1[[#This Row],[Surgery_Cost_NGN]]&gt;0, "Yes", "No")</f>
        <v>No</v>
      </c>
      <c r="M244" s="1">
        <v>308984</v>
      </c>
      <c r="N244" t="str">
        <f>IF(Table1[[#This Row],[Surgery_Cost_NGN]]&gt;Table1[[#This Row],[Bill_Amount_NGN]], "Anomaly detected", "Valid")</f>
        <v>Valid</v>
      </c>
      <c r="O244" s="1">
        <f t="shared" si="3"/>
        <v>0</v>
      </c>
    </row>
    <row r="245" spans="1:15" x14ac:dyDescent="0.35">
      <c r="A245" t="s">
        <v>307</v>
      </c>
      <c r="B245" t="s">
        <v>10</v>
      </c>
      <c r="C245">
        <v>69</v>
      </c>
      <c r="D245" t="str">
        <f>IF(Table1[[#This Row],[Age]]&lt;=4, "Toddler (0-4)",
IF(Table1[[#This Row],[Age]]&lt;=12, "Child (5-12)",
IF(Table1[[#This Row],[Age]]&lt;=19, "Adolescent (13-19)",
IF(Table1[[#This Row],[Age]]&lt;=35, "Young adult (20-35)",
IF(Table1[[#This Row],[Age]]&lt;=59, "Adult (36-59)", "Elderly (60-90)")))))</f>
        <v>Elderly (60-90)</v>
      </c>
      <c r="E245" t="s">
        <v>20</v>
      </c>
      <c r="F245">
        <v>13</v>
      </c>
      <c r="G245" t="str">
        <f>IF(Table1[[#This Row],[Admission_Days]]&lt;=5, "Immediate (1-5)",
IF(Table1[[#This Row],[Admission_Days]]&lt;=10, "Short-term (6-10)",
IF(Table1[[#This Row],[Admission_Days]]&lt;=15, "Medium-term (11-15)", "Long-term (16-20)")))</f>
        <v>Medium-term (11-15)</v>
      </c>
      <c r="H245" t="s">
        <v>17</v>
      </c>
      <c r="I245">
        <v>3</v>
      </c>
      <c r="J245">
        <v>1</v>
      </c>
      <c r="K245" s="1">
        <v>0</v>
      </c>
      <c r="L245" t="str">
        <f>IF(Table1[[#This Row],[Surgery_Cost_NGN]]&gt;0, "Yes", "No")</f>
        <v>No</v>
      </c>
      <c r="M245" s="1">
        <v>120808</v>
      </c>
      <c r="N245" t="str">
        <f>IF(Table1[[#This Row],[Surgery_Cost_NGN]]&gt;Table1[[#This Row],[Bill_Amount_NGN]], "Anomaly detected", "Valid")</f>
        <v>Valid</v>
      </c>
      <c r="O245" s="1">
        <f t="shared" si="3"/>
        <v>0</v>
      </c>
    </row>
    <row r="246" spans="1:15" x14ac:dyDescent="0.35">
      <c r="A246" t="s">
        <v>308</v>
      </c>
      <c r="B246" t="s">
        <v>10</v>
      </c>
      <c r="C246">
        <v>4</v>
      </c>
      <c r="D246" t="str">
        <f>IF(Table1[[#This Row],[Age]]&lt;=4, "Toddler (0-4)",
IF(Table1[[#This Row],[Age]]&lt;=12, "Child (5-12)",
IF(Table1[[#This Row],[Age]]&lt;=19, "Adolescent (13-19)",
IF(Table1[[#This Row],[Age]]&lt;=35, "Young adult (20-35)",
IF(Table1[[#This Row],[Age]]&lt;=59, "Adult (36-59)", "Elderly (60-90)")))))</f>
        <v>Toddler (0-4)</v>
      </c>
      <c r="E246" t="s">
        <v>14</v>
      </c>
      <c r="F246">
        <v>2</v>
      </c>
      <c r="G246" t="str">
        <f>IF(Table1[[#This Row],[Admission_Days]]&lt;=5, "Immediate (1-5)",
IF(Table1[[#This Row],[Admission_Days]]&lt;=10, "Short-term (6-10)",
IF(Table1[[#This Row],[Admission_Days]]&lt;=15, "Medium-term (11-15)", "Long-term (16-20)")))</f>
        <v>Immediate (1-5)</v>
      </c>
      <c r="H246" t="s">
        <v>21</v>
      </c>
      <c r="I246">
        <v>5</v>
      </c>
      <c r="J246">
        <v>9</v>
      </c>
      <c r="K246" s="1">
        <v>0</v>
      </c>
      <c r="L246" t="str">
        <f>IF(Table1[[#This Row],[Surgery_Cost_NGN]]&gt;0, "Yes", "No")</f>
        <v>No</v>
      </c>
      <c r="M246" s="1">
        <v>156895</v>
      </c>
      <c r="N246" t="str">
        <f>IF(Table1[[#This Row],[Surgery_Cost_NGN]]&gt;Table1[[#This Row],[Bill_Amount_NGN]], "Anomaly detected", "Valid")</f>
        <v>Valid</v>
      </c>
      <c r="O246" s="1">
        <f t="shared" si="3"/>
        <v>0</v>
      </c>
    </row>
    <row r="247" spans="1:15" x14ac:dyDescent="0.35">
      <c r="A247" t="s">
        <v>309</v>
      </c>
      <c r="B247" t="s">
        <v>13</v>
      </c>
      <c r="C247">
        <v>16</v>
      </c>
      <c r="D247" t="str">
        <f>IF(Table1[[#This Row],[Age]]&lt;=4, "Toddler (0-4)",
IF(Table1[[#This Row],[Age]]&lt;=12, "Child (5-12)",
IF(Table1[[#This Row],[Age]]&lt;=19, "Adolescent (13-19)",
IF(Table1[[#This Row],[Age]]&lt;=35, "Young adult (20-35)",
IF(Table1[[#This Row],[Age]]&lt;=59, "Adult (36-59)", "Elderly (60-90)")))))</f>
        <v>Adolescent (13-19)</v>
      </c>
      <c r="E247" t="s">
        <v>19</v>
      </c>
      <c r="F247">
        <v>19</v>
      </c>
      <c r="G247" t="str">
        <f>IF(Table1[[#This Row],[Admission_Days]]&lt;=5, "Immediate (1-5)",
IF(Table1[[#This Row],[Admission_Days]]&lt;=10, "Short-term (6-10)",
IF(Table1[[#This Row],[Admission_Days]]&lt;=15, "Medium-term (11-15)", "Long-term (16-20)")))</f>
        <v>Long-term (16-20)</v>
      </c>
      <c r="H247" t="s">
        <v>18</v>
      </c>
      <c r="I247">
        <v>2</v>
      </c>
      <c r="J247">
        <v>9</v>
      </c>
      <c r="K247" s="1">
        <v>0</v>
      </c>
      <c r="L247" t="str">
        <f>IF(Table1[[#This Row],[Surgery_Cost_NGN]]&gt;0, "Yes", "No")</f>
        <v>No</v>
      </c>
      <c r="M247" s="1">
        <v>299422</v>
      </c>
      <c r="N247" t="str">
        <f>IF(Table1[[#This Row],[Surgery_Cost_NGN]]&gt;Table1[[#This Row],[Bill_Amount_NGN]], "Anomaly detected", "Valid")</f>
        <v>Valid</v>
      </c>
      <c r="O247" s="1">
        <f t="shared" si="3"/>
        <v>0</v>
      </c>
    </row>
    <row r="248" spans="1:15" x14ac:dyDescent="0.35">
      <c r="A248" t="s">
        <v>310</v>
      </c>
      <c r="B248" t="s">
        <v>10</v>
      </c>
      <c r="C248">
        <v>24</v>
      </c>
      <c r="D248" t="str">
        <f>IF(Table1[[#This Row],[Age]]&lt;=4, "Toddler (0-4)",
IF(Table1[[#This Row],[Age]]&lt;=12, "Child (5-12)",
IF(Table1[[#This Row],[Age]]&lt;=19, "Adolescent (13-19)",
IF(Table1[[#This Row],[Age]]&lt;=35, "Young adult (20-35)",
IF(Table1[[#This Row],[Age]]&lt;=59, "Adult (36-59)", "Elderly (60-90)")))))</f>
        <v>Young adult (20-35)</v>
      </c>
      <c r="E248" t="s">
        <v>20</v>
      </c>
      <c r="F248">
        <v>19</v>
      </c>
      <c r="G248" t="str">
        <f>IF(Table1[[#This Row],[Admission_Days]]&lt;=5, "Immediate (1-5)",
IF(Table1[[#This Row],[Admission_Days]]&lt;=10, "Short-term (6-10)",
IF(Table1[[#This Row],[Admission_Days]]&lt;=15, "Medium-term (11-15)", "Long-term (16-20)")))</f>
        <v>Long-term (16-20)</v>
      </c>
      <c r="H248" t="s">
        <v>18</v>
      </c>
      <c r="I248">
        <v>2</v>
      </c>
      <c r="J248">
        <v>9</v>
      </c>
      <c r="K248" s="1">
        <v>150000</v>
      </c>
      <c r="L248" t="str">
        <f>IF(Table1[[#This Row],[Surgery_Cost_NGN]]&gt;0, "Yes", "No")</f>
        <v>Yes</v>
      </c>
      <c r="M248" s="1">
        <v>409755</v>
      </c>
      <c r="N248" t="str">
        <f>IF(Table1[[#This Row],[Surgery_Cost_NGN]]&gt;Table1[[#This Row],[Bill_Amount_NGN]], "Anomaly detected", "Valid")</f>
        <v>Valid</v>
      </c>
      <c r="O248" s="1">
        <f t="shared" si="3"/>
        <v>36.607240912252443</v>
      </c>
    </row>
    <row r="249" spans="1:15" x14ac:dyDescent="0.35">
      <c r="A249" t="s">
        <v>311</v>
      </c>
      <c r="B249" t="s">
        <v>10</v>
      </c>
      <c r="C249">
        <v>80</v>
      </c>
      <c r="D249" t="str">
        <f>IF(Table1[[#This Row],[Age]]&lt;=4, "Toddler (0-4)",
IF(Table1[[#This Row],[Age]]&lt;=12, "Child (5-12)",
IF(Table1[[#This Row],[Age]]&lt;=19, "Adolescent (13-19)",
IF(Table1[[#This Row],[Age]]&lt;=35, "Young adult (20-35)",
IF(Table1[[#This Row],[Age]]&lt;=59, "Adult (36-59)", "Elderly (60-90)")))))</f>
        <v>Elderly (60-90)</v>
      </c>
      <c r="E249" t="s">
        <v>11</v>
      </c>
      <c r="F249">
        <v>4</v>
      </c>
      <c r="G249" t="str">
        <f>IF(Table1[[#This Row],[Admission_Days]]&lt;=5, "Immediate (1-5)",
IF(Table1[[#This Row],[Admission_Days]]&lt;=10, "Short-term (6-10)",
IF(Table1[[#This Row],[Admission_Days]]&lt;=15, "Medium-term (11-15)", "Long-term (16-20)")))</f>
        <v>Immediate (1-5)</v>
      </c>
      <c r="H249" t="s">
        <v>17</v>
      </c>
      <c r="I249">
        <v>2</v>
      </c>
      <c r="J249">
        <v>5</v>
      </c>
      <c r="K249" s="1">
        <v>400000</v>
      </c>
      <c r="L249" t="str">
        <f>IF(Table1[[#This Row],[Surgery_Cost_NGN]]&gt;0, "Yes", "No")</f>
        <v>Yes</v>
      </c>
      <c r="M249" s="1">
        <v>497137</v>
      </c>
      <c r="N249" t="str">
        <f>IF(Table1[[#This Row],[Surgery_Cost_NGN]]&gt;Table1[[#This Row],[Bill_Amount_NGN]], "Anomaly detected", "Valid")</f>
        <v>Valid</v>
      </c>
      <c r="O249" s="1">
        <f t="shared" si="3"/>
        <v>80.460718071678428</v>
      </c>
    </row>
    <row r="250" spans="1:15" x14ac:dyDescent="0.35">
      <c r="A250" t="s">
        <v>312</v>
      </c>
      <c r="B250" t="s">
        <v>10</v>
      </c>
      <c r="C250">
        <v>2</v>
      </c>
      <c r="D250" t="str">
        <f>IF(Table1[[#This Row],[Age]]&lt;=4, "Toddler (0-4)",
IF(Table1[[#This Row],[Age]]&lt;=12, "Child (5-12)",
IF(Table1[[#This Row],[Age]]&lt;=19, "Adolescent (13-19)",
IF(Table1[[#This Row],[Age]]&lt;=35, "Young adult (20-35)",
IF(Table1[[#This Row],[Age]]&lt;=59, "Adult (36-59)", "Elderly (60-90)")))))</f>
        <v>Toddler (0-4)</v>
      </c>
      <c r="E250" t="s">
        <v>19</v>
      </c>
      <c r="F250">
        <v>4</v>
      </c>
      <c r="G250" t="str">
        <f>IF(Table1[[#This Row],[Admission_Days]]&lt;=5, "Immediate (1-5)",
IF(Table1[[#This Row],[Admission_Days]]&lt;=10, "Short-term (6-10)",
IF(Table1[[#This Row],[Admission_Days]]&lt;=15, "Medium-term (11-15)", "Long-term (16-20)")))</f>
        <v>Immediate (1-5)</v>
      </c>
      <c r="H250" t="s">
        <v>18</v>
      </c>
      <c r="I250">
        <v>0</v>
      </c>
      <c r="J250">
        <v>9</v>
      </c>
      <c r="K250" s="1">
        <v>600000</v>
      </c>
      <c r="L250" t="str">
        <f>IF(Table1[[#This Row],[Surgery_Cost_NGN]]&gt;0, "Yes", "No")</f>
        <v>Yes</v>
      </c>
      <c r="M250" s="1">
        <v>701864</v>
      </c>
      <c r="N250" t="str">
        <f>IF(Table1[[#This Row],[Surgery_Cost_NGN]]&gt;Table1[[#This Row],[Bill_Amount_NGN]], "Anomaly detected", "Valid")</f>
        <v>Valid</v>
      </c>
      <c r="O250" s="1">
        <f t="shared" si="3"/>
        <v>85.486646985740819</v>
      </c>
    </row>
    <row r="251" spans="1:15" x14ac:dyDescent="0.35">
      <c r="A251" t="s">
        <v>313</v>
      </c>
      <c r="B251" t="s">
        <v>10</v>
      </c>
      <c r="C251">
        <v>32</v>
      </c>
      <c r="D251" t="str">
        <f>IF(Table1[[#This Row],[Age]]&lt;=4, "Toddler (0-4)",
IF(Table1[[#This Row],[Age]]&lt;=12, "Child (5-12)",
IF(Table1[[#This Row],[Age]]&lt;=19, "Adolescent (13-19)",
IF(Table1[[#This Row],[Age]]&lt;=35, "Young adult (20-35)",
IF(Table1[[#This Row],[Age]]&lt;=59, "Adult (36-59)", "Elderly (60-90)")))))</f>
        <v>Young adult (20-35)</v>
      </c>
      <c r="E251" t="s">
        <v>19</v>
      </c>
      <c r="F251">
        <v>11</v>
      </c>
      <c r="G251" t="str">
        <f>IF(Table1[[#This Row],[Admission_Days]]&lt;=5, "Immediate (1-5)",
IF(Table1[[#This Row],[Admission_Days]]&lt;=10, "Short-term (6-10)",
IF(Table1[[#This Row],[Admission_Days]]&lt;=15, "Medium-term (11-15)", "Long-term (16-20)")))</f>
        <v>Medium-term (11-15)</v>
      </c>
      <c r="H251" t="s">
        <v>21</v>
      </c>
      <c r="I251">
        <v>5</v>
      </c>
      <c r="J251">
        <v>4</v>
      </c>
      <c r="K251" s="1">
        <v>0</v>
      </c>
      <c r="L251" t="str">
        <f>IF(Table1[[#This Row],[Surgery_Cost_NGN]]&gt;0, "Yes", "No")</f>
        <v>No</v>
      </c>
      <c r="M251" s="1">
        <v>157278</v>
      </c>
      <c r="N251" t="str">
        <f>IF(Table1[[#This Row],[Surgery_Cost_NGN]]&gt;Table1[[#This Row],[Bill_Amount_NGN]], "Anomaly detected", "Valid")</f>
        <v>Valid</v>
      </c>
      <c r="O251" s="1">
        <f t="shared" si="3"/>
        <v>0</v>
      </c>
    </row>
    <row r="252" spans="1:15" x14ac:dyDescent="0.35">
      <c r="A252" t="s">
        <v>314</v>
      </c>
      <c r="B252" t="s">
        <v>13</v>
      </c>
      <c r="C252">
        <v>84</v>
      </c>
      <c r="D252" t="str">
        <f>IF(Table1[[#This Row],[Age]]&lt;=4, "Toddler (0-4)",
IF(Table1[[#This Row],[Age]]&lt;=12, "Child (5-12)",
IF(Table1[[#This Row],[Age]]&lt;=19, "Adolescent (13-19)",
IF(Table1[[#This Row],[Age]]&lt;=35, "Young adult (20-35)",
IF(Table1[[#This Row],[Age]]&lt;=59, "Adult (36-59)", "Elderly (60-90)")))))</f>
        <v>Elderly (60-90)</v>
      </c>
      <c r="E252" t="s">
        <v>16</v>
      </c>
      <c r="F252">
        <v>5</v>
      </c>
      <c r="G252" t="str">
        <f>IF(Table1[[#This Row],[Admission_Days]]&lt;=5, "Immediate (1-5)",
IF(Table1[[#This Row],[Admission_Days]]&lt;=10, "Short-term (6-10)",
IF(Table1[[#This Row],[Admission_Days]]&lt;=15, "Medium-term (11-15)", "Long-term (16-20)")))</f>
        <v>Immediate (1-5)</v>
      </c>
      <c r="H252" t="s">
        <v>18</v>
      </c>
      <c r="I252">
        <v>3</v>
      </c>
      <c r="J252">
        <v>2</v>
      </c>
      <c r="K252" s="1">
        <v>150000</v>
      </c>
      <c r="L252" t="str">
        <f>IF(Table1[[#This Row],[Surgery_Cost_NGN]]&gt;0, "Yes", "No")</f>
        <v>Yes</v>
      </c>
      <c r="M252" s="1">
        <v>235857</v>
      </c>
      <c r="N252" t="str">
        <f>IF(Table1[[#This Row],[Surgery_Cost_NGN]]&gt;Table1[[#This Row],[Bill_Amount_NGN]], "Anomaly detected", "Valid")</f>
        <v>Valid</v>
      </c>
      <c r="O252" s="1">
        <f t="shared" si="3"/>
        <v>63.59785802414175</v>
      </c>
    </row>
    <row r="253" spans="1:15" x14ac:dyDescent="0.35">
      <c r="A253" t="s">
        <v>315</v>
      </c>
      <c r="B253" t="s">
        <v>10</v>
      </c>
      <c r="C253">
        <v>24</v>
      </c>
      <c r="D253" t="str">
        <f>IF(Table1[[#This Row],[Age]]&lt;=4, "Toddler (0-4)",
IF(Table1[[#This Row],[Age]]&lt;=12, "Child (5-12)",
IF(Table1[[#This Row],[Age]]&lt;=19, "Adolescent (13-19)",
IF(Table1[[#This Row],[Age]]&lt;=35, "Young adult (20-35)",
IF(Table1[[#This Row],[Age]]&lt;=59, "Adult (36-59)", "Elderly (60-90)")))))</f>
        <v>Young adult (20-35)</v>
      </c>
      <c r="E253" t="s">
        <v>14</v>
      </c>
      <c r="F253">
        <v>20</v>
      </c>
      <c r="G253" t="str">
        <f>IF(Table1[[#This Row],[Admission_Days]]&lt;=5, "Immediate (1-5)",
IF(Table1[[#This Row],[Admission_Days]]&lt;=10, "Short-term (6-10)",
IF(Table1[[#This Row],[Admission_Days]]&lt;=15, "Medium-term (11-15)", "Long-term (16-20)")))</f>
        <v>Long-term (16-20)</v>
      </c>
      <c r="H253" t="s">
        <v>21</v>
      </c>
      <c r="I253">
        <v>3</v>
      </c>
      <c r="J253">
        <v>6</v>
      </c>
      <c r="K253" s="1">
        <v>0</v>
      </c>
      <c r="L253" t="str">
        <f>IF(Table1[[#This Row],[Surgery_Cost_NGN]]&gt;0, "Yes", "No")</f>
        <v>No</v>
      </c>
      <c r="M253" s="1">
        <v>282855</v>
      </c>
      <c r="N253" t="str">
        <f>IF(Table1[[#This Row],[Surgery_Cost_NGN]]&gt;Table1[[#This Row],[Bill_Amount_NGN]], "Anomaly detected", "Valid")</f>
        <v>Valid</v>
      </c>
      <c r="O253" s="1">
        <f t="shared" si="3"/>
        <v>0</v>
      </c>
    </row>
    <row r="254" spans="1:15" x14ac:dyDescent="0.35">
      <c r="A254" t="s">
        <v>316</v>
      </c>
      <c r="B254" t="s">
        <v>13</v>
      </c>
      <c r="C254">
        <v>12</v>
      </c>
      <c r="D254" t="str">
        <f>IF(Table1[[#This Row],[Age]]&lt;=4, "Toddler (0-4)",
IF(Table1[[#This Row],[Age]]&lt;=12, "Child (5-12)",
IF(Table1[[#This Row],[Age]]&lt;=19, "Adolescent (13-19)",
IF(Table1[[#This Row],[Age]]&lt;=35, "Young adult (20-35)",
IF(Table1[[#This Row],[Age]]&lt;=59, "Adult (36-59)", "Elderly (60-90)")))))</f>
        <v>Child (5-12)</v>
      </c>
      <c r="E254" t="s">
        <v>14</v>
      </c>
      <c r="F254">
        <v>11</v>
      </c>
      <c r="G254" t="str">
        <f>IF(Table1[[#This Row],[Admission_Days]]&lt;=5, "Immediate (1-5)",
IF(Table1[[#This Row],[Admission_Days]]&lt;=10, "Short-term (6-10)",
IF(Table1[[#This Row],[Admission_Days]]&lt;=15, "Medium-term (11-15)", "Long-term (16-20)")))</f>
        <v>Medium-term (11-15)</v>
      </c>
      <c r="H254" t="s">
        <v>17</v>
      </c>
      <c r="I254">
        <v>4</v>
      </c>
      <c r="J254">
        <v>4</v>
      </c>
      <c r="K254" s="1">
        <v>600000</v>
      </c>
      <c r="L254" t="str">
        <f>IF(Table1[[#This Row],[Surgery_Cost_NGN]]&gt;0, "Yes", "No")</f>
        <v>Yes</v>
      </c>
      <c r="M254" s="1">
        <v>813927</v>
      </c>
      <c r="N254" t="str">
        <f>IF(Table1[[#This Row],[Surgery_Cost_NGN]]&gt;Table1[[#This Row],[Bill_Amount_NGN]], "Anomaly detected", "Valid")</f>
        <v>Valid</v>
      </c>
      <c r="O254" s="1">
        <f t="shared" si="3"/>
        <v>73.716684665823834</v>
      </c>
    </row>
    <row r="255" spans="1:15" x14ac:dyDescent="0.35">
      <c r="A255" t="s">
        <v>317</v>
      </c>
      <c r="B255" t="s">
        <v>10</v>
      </c>
      <c r="C255">
        <v>50</v>
      </c>
      <c r="D255" t="str">
        <f>IF(Table1[[#This Row],[Age]]&lt;=4, "Toddler (0-4)",
IF(Table1[[#This Row],[Age]]&lt;=12, "Child (5-12)",
IF(Table1[[#This Row],[Age]]&lt;=19, "Adolescent (13-19)",
IF(Table1[[#This Row],[Age]]&lt;=35, "Young adult (20-35)",
IF(Table1[[#This Row],[Age]]&lt;=59, "Adult (36-59)", "Elderly (60-90)")))))</f>
        <v>Adult (36-59)</v>
      </c>
      <c r="E255" t="s">
        <v>11</v>
      </c>
      <c r="F255">
        <v>10</v>
      </c>
      <c r="G255" t="str">
        <f>IF(Table1[[#This Row],[Admission_Days]]&lt;=5, "Immediate (1-5)",
IF(Table1[[#This Row],[Admission_Days]]&lt;=10, "Short-term (6-10)",
IF(Table1[[#This Row],[Admission_Days]]&lt;=15, "Medium-term (11-15)", "Long-term (16-20)")))</f>
        <v>Short-term (6-10)</v>
      </c>
      <c r="H255" t="s">
        <v>12</v>
      </c>
      <c r="I255">
        <v>4</v>
      </c>
      <c r="J255">
        <v>6</v>
      </c>
      <c r="K255" s="1">
        <v>400000</v>
      </c>
      <c r="L255" t="str">
        <f>IF(Table1[[#This Row],[Surgery_Cost_NGN]]&gt;0, "Yes", "No")</f>
        <v>Yes</v>
      </c>
      <c r="M255" s="1">
        <v>660954</v>
      </c>
      <c r="N255" t="str">
        <f>IF(Table1[[#This Row],[Surgery_Cost_NGN]]&gt;Table1[[#This Row],[Bill_Amount_NGN]], "Anomaly detected", "Valid")</f>
        <v>Valid</v>
      </c>
      <c r="O255" s="1">
        <f t="shared" si="3"/>
        <v>60.518583744103218</v>
      </c>
    </row>
    <row r="256" spans="1:15" x14ac:dyDescent="0.35">
      <c r="A256" t="s">
        <v>318</v>
      </c>
      <c r="B256" t="s">
        <v>10</v>
      </c>
      <c r="C256">
        <v>35</v>
      </c>
      <c r="D256" t="str">
        <f>IF(Table1[[#This Row],[Age]]&lt;=4, "Toddler (0-4)",
IF(Table1[[#This Row],[Age]]&lt;=12, "Child (5-12)",
IF(Table1[[#This Row],[Age]]&lt;=19, "Adolescent (13-19)",
IF(Table1[[#This Row],[Age]]&lt;=35, "Young adult (20-35)",
IF(Table1[[#This Row],[Age]]&lt;=59, "Adult (36-59)", "Elderly (60-90)")))))</f>
        <v>Young adult (20-35)</v>
      </c>
      <c r="E256" t="s">
        <v>11</v>
      </c>
      <c r="F256">
        <v>8</v>
      </c>
      <c r="G256" t="str">
        <f>IF(Table1[[#This Row],[Admission_Days]]&lt;=5, "Immediate (1-5)",
IF(Table1[[#This Row],[Admission_Days]]&lt;=10, "Short-term (6-10)",
IF(Table1[[#This Row],[Admission_Days]]&lt;=15, "Medium-term (11-15)", "Long-term (16-20)")))</f>
        <v>Short-term (6-10)</v>
      </c>
      <c r="H256" t="s">
        <v>18</v>
      </c>
      <c r="I256">
        <v>4</v>
      </c>
      <c r="J256">
        <v>3</v>
      </c>
      <c r="K256" s="1">
        <v>0</v>
      </c>
      <c r="L256" t="str">
        <f>IF(Table1[[#This Row],[Surgery_Cost_NGN]]&gt;0, "Yes", "No")</f>
        <v>No</v>
      </c>
      <c r="M256" s="1">
        <v>135987</v>
      </c>
      <c r="N256" t="str">
        <f>IF(Table1[[#This Row],[Surgery_Cost_NGN]]&gt;Table1[[#This Row],[Bill_Amount_NGN]], "Anomaly detected", "Valid")</f>
        <v>Valid</v>
      </c>
      <c r="O256" s="1">
        <f t="shared" si="3"/>
        <v>0</v>
      </c>
    </row>
    <row r="257" spans="1:15" x14ac:dyDescent="0.35">
      <c r="A257" t="s">
        <v>319</v>
      </c>
      <c r="B257" t="s">
        <v>10</v>
      </c>
      <c r="C257">
        <v>33</v>
      </c>
      <c r="D257" t="str">
        <f>IF(Table1[[#This Row],[Age]]&lt;=4, "Toddler (0-4)",
IF(Table1[[#This Row],[Age]]&lt;=12, "Child (5-12)",
IF(Table1[[#This Row],[Age]]&lt;=19, "Adolescent (13-19)",
IF(Table1[[#This Row],[Age]]&lt;=35, "Young adult (20-35)",
IF(Table1[[#This Row],[Age]]&lt;=59, "Adult (36-59)", "Elderly (60-90)")))))</f>
        <v>Young adult (20-35)</v>
      </c>
      <c r="E257" t="s">
        <v>19</v>
      </c>
      <c r="F257">
        <v>6</v>
      </c>
      <c r="G257" t="str">
        <f>IF(Table1[[#This Row],[Admission_Days]]&lt;=5, "Immediate (1-5)",
IF(Table1[[#This Row],[Admission_Days]]&lt;=10, "Short-term (6-10)",
IF(Table1[[#This Row],[Admission_Days]]&lt;=15, "Medium-term (11-15)", "Long-term (16-20)")))</f>
        <v>Short-term (6-10)</v>
      </c>
      <c r="H257" t="s">
        <v>12</v>
      </c>
      <c r="I257">
        <v>2</v>
      </c>
      <c r="J257">
        <v>6</v>
      </c>
      <c r="K257" s="1">
        <v>400000</v>
      </c>
      <c r="L257" t="str">
        <f>IF(Table1[[#This Row],[Surgery_Cost_NGN]]&gt;0, "Yes", "No")</f>
        <v>Yes</v>
      </c>
      <c r="M257" s="1">
        <v>535530</v>
      </c>
      <c r="N257" t="str">
        <f>IF(Table1[[#This Row],[Surgery_Cost_NGN]]&gt;Table1[[#This Row],[Bill_Amount_NGN]], "Anomaly detected", "Valid")</f>
        <v>Valid</v>
      </c>
      <c r="O257" s="1">
        <f t="shared" si="3"/>
        <v>74.69236083879521</v>
      </c>
    </row>
    <row r="258" spans="1:15" x14ac:dyDescent="0.35">
      <c r="A258" t="s">
        <v>320</v>
      </c>
      <c r="B258" t="s">
        <v>10</v>
      </c>
      <c r="C258">
        <v>33</v>
      </c>
      <c r="D258" t="str">
        <f>IF(Table1[[#This Row],[Age]]&lt;=4, "Toddler (0-4)",
IF(Table1[[#This Row],[Age]]&lt;=12, "Child (5-12)",
IF(Table1[[#This Row],[Age]]&lt;=19, "Adolescent (13-19)",
IF(Table1[[#This Row],[Age]]&lt;=35, "Young adult (20-35)",
IF(Table1[[#This Row],[Age]]&lt;=59, "Adult (36-59)", "Elderly (60-90)")))))</f>
        <v>Young adult (20-35)</v>
      </c>
      <c r="E258" t="s">
        <v>22</v>
      </c>
      <c r="F258">
        <v>6</v>
      </c>
      <c r="G258" t="str">
        <f>IF(Table1[[#This Row],[Admission_Days]]&lt;=5, "Immediate (1-5)",
IF(Table1[[#This Row],[Admission_Days]]&lt;=10, "Short-term (6-10)",
IF(Table1[[#This Row],[Admission_Days]]&lt;=15, "Medium-term (11-15)", "Long-term (16-20)")))</f>
        <v>Short-term (6-10)</v>
      </c>
      <c r="H258" t="s">
        <v>21</v>
      </c>
      <c r="I258">
        <v>3</v>
      </c>
      <c r="J258">
        <v>2</v>
      </c>
      <c r="K258" s="1">
        <v>0</v>
      </c>
      <c r="L258" t="str">
        <f>IF(Table1[[#This Row],[Surgery_Cost_NGN]]&gt;0, "Yes", "No")</f>
        <v>No</v>
      </c>
      <c r="M258" s="1">
        <v>108626</v>
      </c>
      <c r="N258" t="str">
        <f>IF(Table1[[#This Row],[Surgery_Cost_NGN]]&gt;Table1[[#This Row],[Bill_Amount_NGN]], "Anomaly detected", "Valid")</f>
        <v>Valid</v>
      </c>
      <c r="O258" s="1">
        <f t="shared" ref="O258:O301" si="4">IF(M258=0, 0, K258/M258*100)</f>
        <v>0</v>
      </c>
    </row>
    <row r="259" spans="1:15" x14ac:dyDescent="0.35">
      <c r="A259" t="s">
        <v>321</v>
      </c>
      <c r="B259" t="s">
        <v>13</v>
      </c>
      <c r="C259">
        <v>61</v>
      </c>
      <c r="D259" t="str">
        <f>IF(Table1[[#This Row],[Age]]&lt;=4, "Toddler (0-4)",
IF(Table1[[#This Row],[Age]]&lt;=12, "Child (5-12)",
IF(Table1[[#This Row],[Age]]&lt;=19, "Adolescent (13-19)",
IF(Table1[[#This Row],[Age]]&lt;=35, "Young adult (20-35)",
IF(Table1[[#This Row],[Age]]&lt;=59, "Adult (36-59)", "Elderly (60-90)")))))</f>
        <v>Elderly (60-90)</v>
      </c>
      <c r="E259" t="s">
        <v>16</v>
      </c>
      <c r="F259">
        <v>8</v>
      </c>
      <c r="G259" t="str">
        <f>IF(Table1[[#This Row],[Admission_Days]]&lt;=5, "Immediate (1-5)",
IF(Table1[[#This Row],[Admission_Days]]&lt;=10, "Short-term (6-10)",
IF(Table1[[#This Row],[Admission_Days]]&lt;=15, "Medium-term (11-15)", "Long-term (16-20)")))</f>
        <v>Short-term (6-10)</v>
      </c>
      <c r="H259" t="s">
        <v>18</v>
      </c>
      <c r="I259">
        <v>5</v>
      </c>
      <c r="J259">
        <v>2</v>
      </c>
      <c r="K259" s="1">
        <v>600000</v>
      </c>
      <c r="L259" t="str">
        <f>IF(Table1[[#This Row],[Surgery_Cost_NGN]]&gt;0, "Yes", "No")</f>
        <v>Yes</v>
      </c>
      <c r="M259" s="1">
        <v>753403</v>
      </c>
      <c r="N259" t="str">
        <f>IF(Table1[[#This Row],[Surgery_Cost_NGN]]&gt;Table1[[#This Row],[Bill_Amount_NGN]], "Anomaly detected", "Valid")</f>
        <v>Valid</v>
      </c>
      <c r="O259" s="1">
        <f t="shared" si="4"/>
        <v>79.638652885640226</v>
      </c>
    </row>
    <row r="260" spans="1:15" x14ac:dyDescent="0.35">
      <c r="A260" t="s">
        <v>322</v>
      </c>
      <c r="B260" t="s">
        <v>13</v>
      </c>
      <c r="C260">
        <v>51</v>
      </c>
      <c r="D260" t="str">
        <f>IF(Table1[[#This Row],[Age]]&lt;=4, "Toddler (0-4)",
IF(Table1[[#This Row],[Age]]&lt;=12, "Child (5-12)",
IF(Table1[[#This Row],[Age]]&lt;=19, "Adolescent (13-19)",
IF(Table1[[#This Row],[Age]]&lt;=35, "Young adult (20-35)",
IF(Table1[[#This Row],[Age]]&lt;=59, "Adult (36-59)", "Elderly (60-90)")))))</f>
        <v>Adult (36-59)</v>
      </c>
      <c r="E260" t="s">
        <v>16</v>
      </c>
      <c r="F260">
        <v>15</v>
      </c>
      <c r="G260" t="str">
        <f>IF(Table1[[#This Row],[Admission_Days]]&lt;=5, "Immediate (1-5)",
IF(Table1[[#This Row],[Admission_Days]]&lt;=10, "Short-term (6-10)",
IF(Table1[[#This Row],[Admission_Days]]&lt;=15, "Medium-term (11-15)", "Long-term (16-20)")))</f>
        <v>Medium-term (11-15)</v>
      </c>
      <c r="H260" t="s">
        <v>15</v>
      </c>
      <c r="I260">
        <v>2</v>
      </c>
      <c r="J260">
        <v>9</v>
      </c>
      <c r="K260" s="1">
        <v>400000</v>
      </c>
      <c r="L260" t="str">
        <f>IF(Table1[[#This Row],[Surgery_Cost_NGN]]&gt;0, "Yes", "No")</f>
        <v>Yes</v>
      </c>
      <c r="M260" s="1">
        <v>585943</v>
      </c>
      <c r="N260" t="str">
        <f>IF(Table1[[#This Row],[Surgery_Cost_NGN]]&gt;Table1[[#This Row],[Bill_Amount_NGN]], "Anomaly detected", "Valid")</f>
        <v>Valid</v>
      </c>
      <c r="O260" s="1">
        <f t="shared" si="4"/>
        <v>68.266025876237109</v>
      </c>
    </row>
    <row r="261" spans="1:15" x14ac:dyDescent="0.35">
      <c r="A261" t="s">
        <v>323</v>
      </c>
      <c r="B261" t="s">
        <v>10</v>
      </c>
      <c r="C261">
        <v>43</v>
      </c>
      <c r="D261" t="str">
        <f>IF(Table1[[#This Row],[Age]]&lt;=4, "Toddler (0-4)",
IF(Table1[[#This Row],[Age]]&lt;=12, "Child (5-12)",
IF(Table1[[#This Row],[Age]]&lt;=19, "Adolescent (13-19)",
IF(Table1[[#This Row],[Age]]&lt;=35, "Young adult (20-35)",
IF(Table1[[#This Row],[Age]]&lt;=59, "Adult (36-59)", "Elderly (60-90)")))))</f>
        <v>Adult (36-59)</v>
      </c>
      <c r="E261" t="s">
        <v>19</v>
      </c>
      <c r="F261">
        <v>14</v>
      </c>
      <c r="G261" t="str">
        <f>IF(Table1[[#This Row],[Admission_Days]]&lt;=5, "Immediate (1-5)",
IF(Table1[[#This Row],[Admission_Days]]&lt;=10, "Short-term (6-10)",
IF(Table1[[#This Row],[Admission_Days]]&lt;=15, "Medium-term (11-15)", "Long-term (16-20)")))</f>
        <v>Medium-term (11-15)</v>
      </c>
      <c r="H261" t="s">
        <v>12</v>
      </c>
      <c r="I261">
        <v>0</v>
      </c>
      <c r="J261">
        <v>7</v>
      </c>
      <c r="K261" s="1">
        <v>150000</v>
      </c>
      <c r="L261" t="str">
        <f>IF(Table1[[#This Row],[Surgery_Cost_NGN]]&gt;0, "Yes", "No")</f>
        <v>Yes</v>
      </c>
      <c r="M261" s="1">
        <v>364991</v>
      </c>
      <c r="N261" t="str">
        <f>IF(Table1[[#This Row],[Surgery_Cost_NGN]]&gt;Table1[[#This Row],[Bill_Amount_NGN]], "Anomaly detected", "Valid")</f>
        <v>Valid</v>
      </c>
      <c r="O261" s="1">
        <f t="shared" si="4"/>
        <v>41.096903759270774</v>
      </c>
    </row>
    <row r="262" spans="1:15" x14ac:dyDescent="0.35">
      <c r="A262" t="s">
        <v>324</v>
      </c>
      <c r="B262" t="s">
        <v>10</v>
      </c>
      <c r="C262">
        <v>12</v>
      </c>
      <c r="D262" t="str">
        <f>IF(Table1[[#This Row],[Age]]&lt;=4, "Toddler (0-4)",
IF(Table1[[#This Row],[Age]]&lt;=12, "Child (5-12)",
IF(Table1[[#This Row],[Age]]&lt;=19, "Adolescent (13-19)",
IF(Table1[[#This Row],[Age]]&lt;=35, "Young adult (20-35)",
IF(Table1[[#This Row],[Age]]&lt;=59, "Adult (36-59)", "Elderly (60-90)")))))</f>
        <v>Child (5-12)</v>
      </c>
      <c r="E262" t="s">
        <v>20</v>
      </c>
      <c r="F262">
        <v>11</v>
      </c>
      <c r="G262" t="str">
        <f>IF(Table1[[#This Row],[Admission_Days]]&lt;=5, "Immediate (1-5)",
IF(Table1[[#This Row],[Admission_Days]]&lt;=10, "Short-term (6-10)",
IF(Table1[[#This Row],[Admission_Days]]&lt;=15, "Medium-term (11-15)", "Long-term (16-20)")))</f>
        <v>Medium-term (11-15)</v>
      </c>
      <c r="H262" t="s">
        <v>18</v>
      </c>
      <c r="I262">
        <v>4</v>
      </c>
      <c r="J262">
        <v>3</v>
      </c>
      <c r="K262" s="1">
        <v>250000</v>
      </c>
      <c r="L262" t="str">
        <f>IF(Table1[[#This Row],[Surgery_Cost_NGN]]&gt;0, "Yes", "No")</f>
        <v>Yes</v>
      </c>
      <c r="M262" s="1">
        <v>433560</v>
      </c>
      <c r="N262" t="str">
        <f>IF(Table1[[#This Row],[Surgery_Cost_NGN]]&gt;Table1[[#This Row],[Bill_Amount_NGN]], "Anomaly detected", "Valid")</f>
        <v>Valid</v>
      </c>
      <c r="O262" s="1">
        <f t="shared" si="4"/>
        <v>57.662145954423835</v>
      </c>
    </row>
    <row r="263" spans="1:15" x14ac:dyDescent="0.35">
      <c r="A263" t="s">
        <v>325</v>
      </c>
      <c r="B263" t="s">
        <v>13</v>
      </c>
      <c r="C263">
        <v>67</v>
      </c>
      <c r="D263" t="str">
        <f>IF(Table1[[#This Row],[Age]]&lt;=4, "Toddler (0-4)",
IF(Table1[[#This Row],[Age]]&lt;=12, "Child (5-12)",
IF(Table1[[#This Row],[Age]]&lt;=19, "Adolescent (13-19)",
IF(Table1[[#This Row],[Age]]&lt;=35, "Young adult (20-35)",
IF(Table1[[#This Row],[Age]]&lt;=59, "Adult (36-59)", "Elderly (60-90)")))))</f>
        <v>Elderly (60-90)</v>
      </c>
      <c r="E263" t="s">
        <v>22</v>
      </c>
      <c r="F263">
        <v>12</v>
      </c>
      <c r="G263" t="str">
        <f>IF(Table1[[#This Row],[Admission_Days]]&lt;=5, "Immediate (1-5)",
IF(Table1[[#This Row],[Admission_Days]]&lt;=10, "Short-term (6-10)",
IF(Table1[[#This Row],[Admission_Days]]&lt;=15, "Medium-term (11-15)", "Long-term (16-20)")))</f>
        <v>Medium-term (11-15)</v>
      </c>
      <c r="H263" t="s">
        <v>12</v>
      </c>
      <c r="I263">
        <v>2</v>
      </c>
      <c r="J263">
        <v>1</v>
      </c>
      <c r="K263" s="1">
        <v>150000</v>
      </c>
      <c r="L263" t="str">
        <f>IF(Table1[[#This Row],[Surgery_Cost_NGN]]&gt;0, "Yes", "No")</f>
        <v>Yes</v>
      </c>
      <c r="M263" s="1">
        <v>258421</v>
      </c>
      <c r="N263" t="str">
        <f>IF(Table1[[#This Row],[Surgery_Cost_NGN]]&gt;Table1[[#This Row],[Bill_Amount_NGN]], "Anomaly detected", "Valid")</f>
        <v>Valid</v>
      </c>
      <c r="O263" s="1">
        <f t="shared" si="4"/>
        <v>58.044818339066872</v>
      </c>
    </row>
    <row r="264" spans="1:15" x14ac:dyDescent="0.35">
      <c r="A264" t="s">
        <v>326</v>
      </c>
      <c r="B264" t="s">
        <v>10</v>
      </c>
      <c r="C264">
        <v>65</v>
      </c>
      <c r="D264" t="str">
        <f>IF(Table1[[#This Row],[Age]]&lt;=4, "Toddler (0-4)",
IF(Table1[[#This Row],[Age]]&lt;=12, "Child (5-12)",
IF(Table1[[#This Row],[Age]]&lt;=19, "Adolescent (13-19)",
IF(Table1[[#This Row],[Age]]&lt;=35, "Young adult (20-35)",
IF(Table1[[#This Row],[Age]]&lt;=59, "Adult (36-59)", "Elderly (60-90)")))))</f>
        <v>Elderly (60-90)</v>
      </c>
      <c r="E264" t="s">
        <v>19</v>
      </c>
      <c r="F264">
        <v>13</v>
      </c>
      <c r="G264" t="str">
        <f>IF(Table1[[#This Row],[Admission_Days]]&lt;=5, "Immediate (1-5)",
IF(Table1[[#This Row],[Admission_Days]]&lt;=10, "Short-term (6-10)",
IF(Table1[[#This Row],[Admission_Days]]&lt;=15, "Medium-term (11-15)", "Long-term (16-20)")))</f>
        <v>Medium-term (11-15)</v>
      </c>
      <c r="H264" t="s">
        <v>18</v>
      </c>
      <c r="I264">
        <v>2</v>
      </c>
      <c r="J264">
        <v>8</v>
      </c>
      <c r="K264" s="1">
        <v>0</v>
      </c>
      <c r="L264" t="str">
        <f>IF(Table1[[#This Row],[Surgery_Cost_NGN]]&gt;0, "Yes", "No")</f>
        <v>No</v>
      </c>
      <c r="M264" s="1">
        <v>201421</v>
      </c>
      <c r="N264" t="str">
        <f>IF(Table1[[#This Row],[Surgery_Cost_NGN]]&gt;Table1[[#This Row],[Bill_Amount_NGN]], "Anomaly detected", "Valid")</f>
        <v>Valid</v>
      </c>
      <c r="O264" s="1">
        <f t="shared" si="4"/>
        <v>0</v>
      </c>
    </row>
    <row r="265" spans="1:15" x14ac:dyDescent="0.35">
      <c r="A265" t="s">
        <v>327</v>
      </c>
      <c r="B265" t="s">
        <v>10</v>
      </c>
      <c r="C265">
        <v>33</v>
      </c>
      <c r="D265" t="str">
        <f>IF(Table1[[#This Row],[Age]]&lt;=4, "Toddler (0-4)",
IF(Table1[[#This Row],[Age]]&lt;=12, "Child (5-12)",
IF(Table1[[#This Row],[Age]]&lt;=19, "Adolescent (13-19)",
IF(Table1[[#This Row],[Age]]&lt;=35, "Young adult (20-35)",
IF(Table1[[#This Row],[Age]]&lt;=59, "Adult (36-59)", "Elderly (60-90)")))))</f>
        <v>Young adult (20-35)</v>
      </c>
      <c r="E265" t="s">
        <v>22</v>
      </c>
      <c r="F265">
        <v>8</v>
      </c>
      <c r="G265" t="str">
        <f>IF(Table1[[#This Row],[Admission_Days]]&lt;=5, "Immediate (1-5)",
IF(Table1[[#This Row],[Admission_Days]]&lt;=10, "Short-term (6-10)",
IF(Table1[[#This Row],[Admission_Days]]&lt;=15, "Medium-term (11-15)", "Long-term (16-20)")))</f>
        <v>Short-term (6-10)</v>
      </c>
      <c r="H265" t="s">
        <v>17</v>
      </c>
      <c r="I265">
        <v>0</v>
      </c>
      <c r="J265">
        <v>6</v>
      </c>
      <c r="K265" s="1">
        <v>150000</v>
      </c>
      <c r="L265" t="str">
        <f>IF(Table1[[#This Row],[Surgery_Cost_NGN]]&gt;0, "Yes", "No")</f>
        <v>Yes</v>
      </c>
      <c r="M265" s="1">
        <v>283406</v>
      </c>
      <c r="N265" t="str">
        <f>IF(Table1[[#This Row],[Surgery_Cost_NGN]]&gt;Table1[[#This Row],[Bill_Amount_NGN]], "Anomaly detected", "Valid")</f>
        <v>Valid</v>
      </c>
      <c r="O265" s="1">
        <f t="shared" si="4"/>
        <v>52.927602097344447</v>
      </c>
    </row>
    <row r="266" spans="1:15" x14ac:dyDescent="0.35">
      <c r="A266" t="s">
        <v>328</v>
      </c>
      <c r="B266" t="s">
        <v>10</v>
      </c>
      <c r="C266">
        <v>40</v>
      </c>
      <c r="D266" t="str">
        <f>IF(Table1[[#This Row],[Age]]&lt;=4, "Toddler (0-4)",
IF(Table1[[#This Row],[Age]]&lt;=12, "Child (5-12)",
IF(Table1[[#This Row],[Age]]&lt;=19, "Adolescent (13-19)",
IF(Table1[[#This Row],[Age]]&lt;=35, "Young adult (20-35)",
IF(Table1[[#This Row],[Age]]&lt;=59, "Adult (36-59)", "Elderly (60-90)")))))</f>
        <v>Adult (36-59)</v>
      </c>
      <c r="E266" t="s">
        <v>22</v>
      </c>
      <c r="F266">
        <v>18</v>
      </c>
      <c r="G266" t="str">
        <f>IF(Table1[[#This Row],[Admission_Days]]&lt;=5, "Immediate (1-5)",
IF(Table1[[#This Row],[Admission_Days]]&lt;=10, "Short-term (6-10)",
IF(Table1[[#This Row],[Admission_Days]]&lt;=15, "Medium-term (11-15)", "Long-term (16-20)")))</f>
        <v>Long-term (16-20)</v>
      </c>
      <c r="H266" t="s">
        <v>12</v>
      </c>
      <c r="I266">
        <v>1</v>
      </c>
      <c r="J266">
        <v>7</v>
      </c>
      <c r="K266" s="1">
        <v>607000</v>
      </c>
      <c r="L266" t="str">
        <f>IF(Table1[[#This Row],[Surgery_Cost_NGN]]&gt;0, "Yes", "No")</f>
        <v>Yes</v>
      </c>
      <c r="M266" s="1">
        <v>360000</v>
      </c>
      <c r="N266" t="str">
        <f>IF(Table1[[#This Row],[Surgery_Cost_NGN]]&gt;Table1[[#This Row],[Bill_Amount_NGN]], "Anomaly detected", "Valid")</f>
        <v>Anomaly detected</v>
      </c>
      <c r="O266" s="1">
        <f t="shared" si="4"/>
        <v>168.61111111111111</v>
      </c>
    </row>
    <row r="267" spans="1:15" x14ac:dyDescent="0.35">
      <c r="A267" t="s">
        <v>329</v>
      </c>
      <c r="B267" t="s">
        <v>13</v>
      </c>
      <c r="C267">
        <v>74</v>
      </c>
      <c r="D267" t="str">
        <f>IF(Table1[[#This Row],[Age]]&lt;=4, "Toddler (0-4)",
IF(Table1[[#This Row],[Age]]&lt;=12, "Child (5-12)",
IF(Table1[[#This Row],[Age]]&lt;=19, "Adolescent (13-19)",
IF(Table1[[#This Row],[Age]]&lt;=35, "Young adult (20-35)",
IF(Table1[[#This Row],[Age]]&lt;=59, "Adult (36-59)", "Elderly (60-90)")))))</f>
        <v>Elderly (60-90)</v>
      </c>
      <c r="E267" t="s">
        <v>22</v>
      </c>
      <c r="F267">
        <v>1</v>
      </c>
      <c r="G267" t="str">
        <f>IF(Table1[[#This Row],[Admission_Days]]&lt;=5, "Immediate (1-5)",
IF(Table1[[#This Row],[Admission_Days]]&lt;=10, "Short-term (6-10)",
IF(Table1[[#This Row],[Admission_Days]]&lt;=15, "Medium-term (11-15)", "Long-term (16-20)")))</f>
        <v>Immediate (1-5)</v>
      </c>
      <c r="H267" t="s">
        <v>15</v>
      </c>
      <c r="I267">
        <v>3</v>
      </c>
      <c r="J267">
        <v>9</v>
      </c>
      <c r="K267" s="1">
        <v>0</v>
      </c>
      <c r="L267" t="str">
        <f>IF(Table1[[#This Row],[Surgery_Cost_NGN]]&gt;0, "Yes", "No")</f>
        <v>No</v>
      </c>
      <c r="M267" s="1">
        <v>96821</v>
      </c>
      <c r="N267" t="str">
        <f>IF(Table1[[#This Row],[Surgery_Cost_NGN]]&gt;Table1[[#This Row],[Bill_Amount_NGN]], "Anomaly detected", "Valid")</f>
        <v>Valid</v>
      </c>
      <c r="O267" s="1">
        <f t="shared" si="4"/>
        <v>0</v>
      </c>
    </row>
    <row r="268" spans="1:15" x14ac:dyDescent="0.35">
      <c r="A268" t="s">
        <v>330</v>
      </c>
      <c r="B268" t="s">
        <v>13</v>
      </c>
      <c r="C268">
        <v>43</v>
      </c>
      <c r="D268" t="str">
        <f>IF(Table1[[#This Row],[Age]]&lt;=4, "Toddler (0-4)",
IF(Table1[[#This Row],[Age]]&lt;=12, "Child (5-12)",
IF(Table1[[#This Row],[Age]]&lt;=19, "Adolescent (13-19)",
IF(Table1[[#This Row],[Age]]&lt;=35, "Young adult (20-35)",
IF(Table1[[#This Row],[Age]]&lt;=59, "Adult (36-59)", "Elderly (60-90)")))))</f>
        <v>Adult (36-59)</v>
      </c>
      <c r="E268" t="s">
        <v>19</v>
      </c>
      <c r="F268">
        <v>15</v>
      </c>
      <c r="G268" t="str">
        <f>IF(Table1[[#This Row],[Admission_Days]]&lt;=5, "Immediate (1-5)",
IF(Table1[[#This Row],[Admission_Days]]&lt;=10, "Short-term (6-10)",
IF(Table1[[#This Row],[Admission_Days]]&lt;=15, "Medium-term (11-15)", "Long-term (16-20)")))</f>
        <v>Medium-term (11-15)</v>
      </c>
      <c r="H268" t="s">
        <v>15</v>
      </c>
      <c r="I268">
        <v>5</v>
      </c>
      <c r="J268">
        <v>5</v>
      </c>
      <c r="K268" s="1">
        <v>0</v>
      </c>
      <c r="L268" t="str">
        <f>IF(Table1[[#This Row],[Surgery_Cost_NGN]]&gt;0, "Yes", "No")</f>
        <v>No</v>
      </c>
      <c r="M268" s="1">
        <v>223475</v>
      </c>
      <c r="N268" t="str">
        <f>IF(Table1[[#This Row],[Surgery_Cost_NGN]]&gt;Table1[[#This Row],[Bill_Amount_NGN]], "Anomaly detected", "Valid")</f>
        <v>Valid</v>
      </c>
      <c r="O268" s="1">
        <f t="shared" si="4"/>
        <v>0</v>
      </c>
    </row>
    <row r="269" spans="1:15" x14ac:dyDescent="0.35">
      <c r="A269" t="s">
        <v>331</v>
      </c>
      <c r="B269" t="s">
        <v>13</v>
      </c>
      <c r="C269">
        <v>44</v>
      </c>
      <c r="D269" t="str">
        <f>IF(Table1[[#This Row],[Age]]&lt;=4, "Toddler (0-4)",
IF(Table1[[#This Row],[Age]]&lt;=12, "Child (5-12)",
IF(Table1[[#This Row],[Age]]&lt;=19, "Adolescent (13-19)",
IF(Table1[[#This Row],[Age]]&lt;=35, "Young adult (20-35)",
IF(Table1[[#This Row],[Age]]&lt;=59, "Adult (36-59)", "Elderly (60-90)")))))</f>
        <v>Adult (36-59)</v>
      </c>
      <c r="E269" t="s">
        <v>16</v>
      </c>
      <c r="F269">
        <v>8</v>
      </c>
      <c r="G269" t="str">
        <f>IF(Table1[[#This Row],[Admission_Days]]&lt;=5, "Immediate (1-5)",
IF(Table1[[#This Row],[Admission_Days]]&lt;=10, "Short-term (6-10)",
IF(Table1[[#This Row],[Admission_Days]]&lt;=15, "Medium-term (11-15)", "Long-term (16-20)")))</f>
        <v>Short-term (6-10)</v>
      </c>
      <c r="H269" t="s">
        <v>21</v>
      </c>
      <c r="I269">
        <v>1</v>
      </c>
      <c r="J269">
        <v>1</v>
      </c>
      <c r="K269" s="1">
        <v>400000</v>
      </c>
      <c r="L269" t="str">
        <f>IF(Table1[[#This Row],[Surgery_Cost_NGN]]&gt;0, "Yes", "No")</f>
        <v>Yes</v>
      </c>
      <c r="M269" s="1">
        <v>471815</v>
      </c>
      <c r="N269" t="str">
        <f>IF(Table1[[#This Row],[Surgery_Cost_NGN]]&gt;Table1[[#This Row],[Bill_Amount_NGN]], "Anomaly detected", "Valid")</f>
        <v>Valid</v>
      </c>
      <c r="O269" s="1">
        <f t="shared" si="4"/>
        <v>84.778991765840431</v>
      </c>
    </row>
    <row r="270" spans="1:15" x14ac:dyDescent="0.35">
      <c r="A270" t="s">
        <v>332</v>
      </c>
      <c r="B270" t="s">
        <v>10</v>
      </c>
      <c r="C270">
        <v>29</v>
      </c>
      <c r="D270" t="str">
        <f>IF(Table1[[#This Row],[Age]]&lt;=4, "Toddler (0-4)",
IF(Table1[[#This Row],[Age]]&lt;=12, "Child (5-12)",
IF(Table1[[#This Row],[Age]]&lt;=19, "Adolescent (13-19)",
IF(Table1[[#This Row],[Age]]&lt;=35, "Young adult (20-35)",
IF(Table1[[#This Row],[Age]]&lt;=59, "Adult (36-59)", "Elderly (60-90)")))))</f>
        <v>Young adult (20-35)</v>
      </c>
      <c r="E270" t="s">
        <v>16</v>
      </c>
      <c r="F270">
        <v>11</v>
      </c>
      <c r="G270" t="str">
        <f>IF(Table1[[#This Row],[Admission_Days]]&lt;=5, "Immediate (1-5)",
IF(Table1[[#This Row],[Admission_Days]]&lt;=10, "Short-term (6-10)",
IF(Table1[[#This Row],[Admission_Days]]&lt;=15, "Medium-term (11-15)", "Long-term (16-20)")))</f>
        <v>Medium-term (11-15)</v>
      </c>
      <c r="H270" t="s">
        <v>18</v>
      </c>
      <c r="I270">
        <v>4</v>
      </c>
      <c r="J270">
        <v>7</v>
      </c>
      <c r="K270" s="1">
        <v>0</v>
      </c>
      <c r="L270" t="str">
        <f>IF(Table1[[#This Row],[Surgery_Cost_NGN]]&gt;0, "Yes", "No")</f>
        <v>No</v>
      </c>
      <c r="M270" s="1">
        <v>233806</v>
      </c>
      <c r="N270" t="str">
        <f>IF(Table1[[#This Row],[Surgery_Cost_NGN]]&gt;Table1[[#This Row],[Bill_Amount_NGN]], "Anomaly detected", "Valid")</f>
        <v>Valid</v>
      </c>
      <c r="O270" s="1">
        <f t="shared" si="4"/>
        <v>0</v>
      </c>
    </row>
    <row r="271" spans="1:15" x14ac:dyDescent="0.35">
      <c r="A271" t="s">
        <v>333</v>
      </c>
      <c r="B271" t="s">
        <v>10</v>
      </c>
      <c r="C271">
        <v>13</v>
      </c>
      <c r="D271" t="str">
        <f>IF(Table1[[#This Row],[Age]]&lt;=4, "Toddler (0-4)",
IF(Table1[[#This Row],[Age]]&lt;=12, "Child (5-12)",
IF(Table1[[#This Row],[Age]]&lt;=19, "Adolescent (13-19)",
IF(Table1[[#This Row],[Age]]&lt;=35, "Young adult (20-35)",
IF(Table1[[#This Row],[Age]]&lt;=59, "Adult (36-59)", "Elderly (60-90)")))))</f>
        <v>Adolescent (13-19)</v>
      </c>
      <c r="E271" t="s">
        <v>22</v>
      </c>
      <c r="F271">
        <v>12</v>
      </c>
      <c r="G271" t="str">
        <f>IF(Table1[[#This Row],[Admission_Days]]&lt;=5, "Immediate (1-5)",
IF(Table1[[#This Row],[Admission_Days]]&lt;=10, "Short-term (6-10)",
IF(Table1[[#This Row],[Admission_Days]]&lt;=15, "Medium-term (11-15)", "Long-term (16-20)")))</f>
        <v>Medium-term (11-15)</v>
      </c>
      <c r="H271" t="s">
        <v>12</v>
      </c>
      <c r="I271">
        <v>2</v>
      </c>
      <c r="J271">
        <v>5</v>
      </c>
      <c r="K271" s="1">
        <v>280000</v>
      </c>
      <c r="L271" t="str">
        <f>IF(Table1[[#This Row],[Surgery_Cost_NGN]]&gt;0, "Yes", "No")</f>
        <v>Yes</v>
      </c>
      <c r="M271" s="1">
        <v>150000</v>
      </c>
      <c r="N271" t="str">
        <f>IF(Table1[[#This Row],[Surgery_Cost_NGN]]&gt;Table1[[#This Row],[Bill_Amount_NGN]], "Anomaly detected", "Valid")</f>
        <v>Anomaly detected</v>
      </c>
      <c r="O271" s="1">
        <f t="shared" si="4"/>
        <v>186.66666666666666</v>
      </c>
    </row>
    <row r="272" spans="1:15" x14ac:dyDescent="0.35">
      <c r="A272" t="s">
        <v>334</v>
      </c>
      <c r="B272" t="s">
        <v>13</v>
      </c>
      <c r="C272">
        <v>12</v>
      </c>
      <c r="D272" t="str">
        <f>IF(Table1[[#This Row],[Age]]&lt;=4, "Toddler (0-4)",
IF(Table1[[#This Row],[Age]]&lt;=12, "Child (5-12)",
IF(Table1[[#This Row],[Age]]&lt;=19, "Adolescent (13-19)",
IF(Table1[[#This Row],[Age]]&lt;=35, "Young adult (20-35)",
IF(Table1[[#This Row],[Age]]&lt;=59, "Adult (36-59)", "Elderly (60-90)")))))</f>
        <v>Child (5-12)</v>
      </c>
      <c r="E272" t="s">
        <v>20</v>
      </c>
      <c r="F272">
        <v>12</v>
      </c>
      <c r="G272" t="str">
        <f>IF(Table1[[#This Row],[Admission_Days]]&lt;=5, "Immediate (1-5)",
IF(Table1[[#This Row],[Admission_Days]]&lt;=10, "Short-term (6-10)",
IF(Table1[[#This Row],[Admission_Days]]&lt;=15, "Medium-term (11-15)", "Long-term (16-20)")))</f>
        <v>Medium-term (11-15)</v>
      </c>
      <c r="H272" t="s">
        <v>21</v>
      </c>
      <c r="I272">
        <v>0</v>
      </c>
      <c r="J272">
        <v>3</v>
      </c>
      <c r="K272" s="1">
        <v>0</v>
      </c>
      <c r="L272" t="str">
        <f>IF(Table1[[#This Row],[Surgery_Cost_NGN]]&gt;0, "Yes", "No")</f>
        <v>No</v>
      </c>
      <c r="M272" s="1">
        <v>133833</v>
      </c>
      <c r="N272" t="str">
        <f>IF(Table1[[#This Row],[Surgery_Cost_NGN]]&gt;Table1[[#This Row],[Bill_Amount_NGN]], "Anomaly detected", "Valid")</f>
        <v>Valid</v>
      </c>
      <c r="O272" s="1">
        <f t="shared" si="4"/>
        <v>0</v>
      </c>
    </row>
    <row r="273" spans="1:15" x14ac:dyDescent="0.35">
      <c r="A273" t="s">
        <v>335</v>
      </c>
      <c r="B273" t="s">
        <v>13</v>
      </c>
      <c r="C273">
        <v>46</v>
      </c>
      <c r="D273" t="str">
        <f>IF(Table1[[#This Row],[Age]]&lt;=4, "Toddler (0-4)",
IF(Table1[[#This Row],[Age]]&lt;=12, "Child (5-12)",
IF(Table1[[#This Row],[Age]]&lt;=19, "Adolescent (13-19)",
IF(Table1[[#This Row],[Age]]&lt;=35, "Young adult (20-35)",
IF(Table1[[#This Row],[Age]]&lt;=59, "Adult (36-59)", "Elderly (60-90)")))))</f>
        <v>Adult (36-59)</v>
      </c>
      <c r="E273" t="s">
        <v>14</v>
      </c>
      <c r="F273">
        <v>4</v>
      </c>
      <c r="G273" t="str">
        <f>IF(Table1[[#This Row],[Admission_Days]]&lt;=5, "Immediate (1-5)",
IF(Table1[[#This Row],[Admission_Days]]&lt;=10, "Short-term (6-10)",
IF(Table1[[#This Row],[Admission_Days]]&lt;=15, "Medium-term (11-15)", "Long-term (16-20)")))</f>
        <v>Immediate (1-5)</v>
      </c>
      <c r="H273" t="s">
        <v>12</v>
      </c>
      <c r="I273">
        <v>0</v>
      </c>
      <c r="J273">
        <v>9</v>
      </c>
      <c r="K273" s="1">
        <v>400000</v>
      </c>
      <c r="L273" t="str">
        <f>IF(Table1[[#This Row],[Surgery_Cost_NGN]]&gt;0, "Yes", "No")</f>
        <v>Yes</v>
      </c>
      <c r="M273" s="1">
        <v>492820</v>
      </c>
      <c r="N273" t="str">
        <f>IF(Table1[[#This Row],[Surgery_Cost_NGN]]&gt;Table1[[#This Row],[Bill_Amount_NGN]], "Anomaly detected", "Valid")</f>
        <v>Valid</v>
      </c>
      <c r="O273" s="1">
        <f t="shared" si="4"/>
        <v>81.165537112941848</v>
      </c>
    </row>
    <row r="274" spans="1:15" x14ac:dyDescent="0.35">
      <c r="A274" t="s">
        <v>336</v>
      </c>
      <c r="B274" t="s">
        <v>13</v>
      </c>
      <c r="C274">
        <v>2</v>
      </c>
      <c r="D274" t="str">
        <f>IF(Table1[[#This Row],[Age]]&lt;=4, "Toddler (0-4)",
IF(Table1[[#This Row],[Age]]&lt;=12, "Child (5-12)",
IF(Table1[[#This Row],[Age]]&lt;=19, "Adolescent (13-19)",
IF(Table1[[#This Row],[Age]]&lt;=35, "Young adult (20-35)",
IF(Table1[[#This Row],[Age]]&lt;=59, "Adult (36-59)", "Elderly (60-90)")))))</f>
        <v>Toddler (0-4)</v>
      </c>
      <c r="E274" t="s">
        <v>19</v>
      </c>
      <c r="F274">
        <v>16</v>
      </c>
      <c r="G274" t="str">
        <f>IF(Table1[[#This Row],[Admission_Days]]&lt;=5, "Immediate (1-5)",
IF(Table1[[#This Row],[Admission_Days]]&lt;=10, "Short-term (6-10)",
IF(Table1[[#This Row],[Admission_Days]]&lt;=15, "Medium-term (11-15)", "Long-term (16-20)")))</f>
        <v>Long-term (16-20)</v>
      </c>
      <c r="H274" t="s">
        <v>18</v>
      </c>
      <c r="I274">
        <v>3</v>
      </c>
      <c r="J274">
        <v>1</v>
      </c>
      <c r="K274" s="1">
        <v>0</v>
      </c>
      <c r="L274" t="str">
        <f>IF(Table1[[#This Row],[Surgery_Cost_NGN]]&gt;0, "Yes", "No")</f>
        <v>No</v>
      </c>
      <c r="M274" s="1">
        <v>138983</v>
      </c>
      <c r="N274" t="str">
        <f>IF(Table1[[#This Row],[Surgery_Cost_NGN]]&gt;Table1[[#This Row],[Bill_Amount_NGN]], "Anomaly detected", "Valid")</f>
        <v>Valid</v>
      </c>
      <c r="O274" s="1">
        <f t="shared" si="4"/>
        <v>0</v>
      </c>
    </row>
    <row r="275" spans="1:15" x14ac:dyDescent="0.35">
      <c r="A275" t="s">
        <v>337</v>
      </c>
      <c r="B275" t="s">
        <v>13</v>
      </c>
      <c r="C275">
        <v>35</v>
      </c>
      <c r="D275" t="str">
        <f>IF(Table1[[#This Row],[Age]]&lt;=4, "Toddler (0-4)",
IF(Table1[[#This Row],[Age]]&lt;=12, "Child (5-12)",
IF(Table1[[#This Row],[Age]]&lt;=19, "Adolescent (13-19)",
IF(Table1[[#This Row],[Age]]&lt;=35, "Young adult (20-35)",
IF(Table1[[#This Row],[Age]]&lt;=59, "Adult (36-59)", "Elderly (60-90)")))))</f>
        <v>Young adult (20-35)</v>
      </c>
      <c r="E275" t="s">
        <v>14</v>
      </c>
      <c r="F275">
        <v>4</v>
      </c>
      <c r="G275" t="str">
        <f>IF(Table1[[#This Row],[Admission_Days]]&lt;=5, "Immediate (1-5)",
IF(Table1[[#This Row],[Admission_Days]]&lt;=10, "Short-term (6-10)",
IF(Table1[[#This Row],[Admission_Days]]&lt;=15, "Medium-term (11-15)", "Long-term (16-20)")))</f>
        <v>Immediate (1-5)</v>
      </c>
      <c r="H275" t="s">
        <v>15</v>
      </c>
      <c r="I275">
        <v>1</v>
      </c>
      <c r="J275">
        <v>1</v>
      </c>
      <c r="K275" s="1">
        <v>400000</v>
      </c>
      <c r="L275" t="str">
        <f>IF(Table1[[#This Row],[Surgery_Cost_NGN]]&gt;0, "Yes", "No")</f>
        <v>Yes</v>
      </c>
      <c r="M275" s="1">
        <v>445434</v>
      </c>
      <c r="N275" t="str">
        <f>IF(Table1[[#This Row],[Surgery_Cost_NGN]]&gt;Table1[[#This Row],[Bill_Amount_NGN]], "Anomaly detected", "Valid")</f>
        <v>Valid</v>
      </c>
      <c r="O275" s="1">
        <f t="shared" si="4"/>
        <v>89.800060166040311</v>
      </c>
    </row>
    <row r="276" spans="1:15" x14ac:dyDescent="0.35">
      <c r="A276" t="s">
        <v>338</v>
      </c>
      <c r="B276" t="s">
        <v>10</v>
      </c>
      <c r="C276">
        <v>81</v>
      </c>
      <c r="D276" t="str">
        <f>IF(Table1[[#This Row],[Age]]&lt;=4, "Toddler (0-4)",
IF(Table1[[#This Row],[Age]]&lt;=12, "Child (5-12)",
IF(Table1[[#This Row],[Age]]&lt;=19, "Adolescent (13-19)",
IF(Table1[[#This Row],[Age]]&lt;=35, "Young adult (20-35)",
IF(Table1[[#This Row],[Age]]&lt;=59, "Adult (36-59)", "Elderly (60-90)")))))</f>
        <v>Elderly (60-90)</v>
      </c>
      <c r="E276" t="s">
        <v>20</v>
      </c>
      <c r="F276">
        <v>5</v>
      </c>
      <c r="G276" t="str">
        <f>IF(Table1[[#This Row],[Admission_Days]]&lt;=5, "Immediate (1-5)",
IF(Table1[[#This Row],[Admission_Days]]&lt;=10, "Short-term (6-10)",
IF(Table1[[#This Row],[Admission_Days]]&lt;=15, "Medium-term (11-15)", "Long-term (16-20)")))</f>
        <v>Immediate (1-5)</v>
      </c>
      <c r="H276" t="s">
        <v>17</v>
      </c>
      <c r="I276">
        <v>3</v>
      </c>
      <c r="J276">
        <v>1</v>
      </c>
      <c r="K276" s="1">
        <v>400000</v>
      </c>
      <c r="L276" t="str">
        <f>IF(Table1[[#This Row],[Surgery_Cost_NGN]]&gt;0, "Yes", "No")</f>
        <v>Yes</v>
      </c>
      <c r="M276" s="1">
        <v>492333</v>
      </c>
      <c r="N276" t="str">
        <f>IF(Table1[[#This Row],[Surgery_Cost_NGN]]&gt;Table1[[#This Row],[Bill_Amount_NGN]], "Anomaly detected", "Valid")</f>
        <v>Valid</v>
      </c>
      <c r="O276" s="1">
        <f t="shared" si="4"/>
        <v>81.245823456887919</v>
      </c>
    </row>
    <row r="277" spans="1:15" x14ac:dyDescent="0.35">
      <c r="A277" t="s">
        <v>339</v>
      </c>
      <c r="B277" t="s">
        <v>13</v>
      </c>
      <c r="C277">
        <v>8</v>
      </c>
      <c r="D277" t="str">
        <f>IF(Table1[[#This Row],[Age]]&lt;=4, "Toddler (0-4)",
IF(Table1[[#This Row],[Age]]&lt;=12, "Child (5-12)",
IF(Table1[[#This Row],[Age]]&lt;=19, "Adolescent (13-19)",
IF(Table1[[#This Row],[Age]]&lt;=35, "Young adult (20-35)",
IF(Table1[[#This Row],[Age]]&lt;=59, "Adult (36-59)", "Elderly (60-90)")))))</f>
        <v>Child (5-12)</v>
      </c>
      <c r="E277" t="s">
        <v>19</v>
      </c>
      <c r="F277">
        <v>5</v>
      </c>
      <c r="G277" t="str">
        <f>IF(Table1[[#This Row],[Admission_Days]]&lt;=5, "Immediate (1-5)",
IF(Table1[[#This Row],[Admission_Days]]&lt;=10, "Short-term (6-10)",
IF(Table1[[#This Row],[Admission_Days]]&lt;=15, "Medium-term (11-15)", "Long-term (16-20)")))</f>
        <v>Immediate (1-5)</v>
      </c>
      <c r="H277" t="s">
        <v>15</v>
      </c>
      <c r="I277">
        <v>2</v>
      </c>
      <c r="J277">
        <v>3</v>
      </c>
      <c r="K277" s="1">
        <v>400000</v>
      </c>
      <c r="L277" t="str">
        <f>IF(Table1[[#This Row],[Surgery_Cost_NGN]]&gt;0, "Yes", "No")</f>
        <v>Yes</v>
      </c>
      <c r="M277" s="1">
        <v>519864</v>
      </c>
      <c r="N277" t="str">
        <f>IF(Table1[[#This Row],[Surgery_Cost_NGN]]&gt;Table1[[#This Row],[Bill_Amount_NGN]], "Anomaly detected", "Valid")</f>
        <v>Valid</v>
      </c>
      <c r="O277" s="1">
        <f t="shared" si="4"/>
        <v>76.943200529369221</v>
      </c>
    </row>
    <row r="278" spans="1:15" x14ac:dyDescent="0.35">
      <c r="A278" t="s">
        <v>340</v>
      </c>
      <c r="B278" t="s">
        <v>10</v>
      </c>
      <c r="C278">
        <v>26</v>
      </c>
      <c r="D278" t="str">
        <f>IF(Table1[[#This Row],[Age]]&lt;=4, "Toddler (0-4)",
IF(Table1[[#This Row],[Age]]&lt;=12, "Child (5-12)",
IF(Table1[[#This Row],[Age]]&lt;=19, "Adolescent (13-19)",
IF(Table1[[#This Row],[Age]]&lt;=35, "Young adult (20-35)",
IF(Table1[[#This Row],[Age]]&lt;=59, "Adult (36-59)", "Elderly (60-90)")))))</f>
        <v>Young adult (20-35)</v>
      </c>
      <c r="E278" t="s">
        <v>22</v>
      </c>
      <c r="F278">
        <v>8</v>
      </c>
      <c r="G278" t="str">
        <f>IF(Table1[[#This Row],[Admission_Days]]&lt;=5, "Immediate (1-5)",
IF(Table1[[#This Row],[Admission_Days]]&lt;=10, "Short-term (6-10)",
IF(Table1[[#This Row],[Admission_Days]]&lt;=15, "Medium-term (11-15)", "Long-term (16-20)")))</f>
        <v>Short-term (6-10)</v>
      </c>
      <c r="H278" t="s">
        <v>21</v>
      </c>
      <c r="I278">
        <v>3</v>
      </c>
      <c r="J278">
        <v>6</v>
      </c>
      <c r="K278" s="1">
        <v>0</v>
      </c>
      <c r="L278" t="str">
        <f>IF(Table1[[#This Row],[Surgery_Cost_NGN]]&gt;0, "Yes", "No")</f>
        <v>No</v>
      </c>
      <c r="M278" s="1">
        <v>189804</v>
      </c>
      <c r="N278" t="str">
        <f>IF(Table1[[#This Row],[Surgery_Cost_NGN]]&gt;Table1[[#This Row],[Bill_Amount_NGN]], "Anomaly detected", "Valid")</f>
        <v>Valid</v>
      </c>
      <c r="O278" s="1">
        <f t="shared" si="4"/>
        <v>0</v>
      </c>
    </row>
    <row r="279" spans="1:15" x14ac:dyDescent="0.35">
      <c r="A279" t="s">
        <v>341</v>
      </c>
      <c r="B279" t="s">
        <v>13</v>
      </c>
      <c r="C279">
        <v>74</v>
      </c>
      <c r="D279" t="str">
        <f>IF(Table1[[#This Row],[Age]]&lt;=4, "Toddler (0-4)",
IF(Table1[[#This Row],[Age]]&lt;=12, "Child (5-12)",
IF(Table1[[#This Row],[Age]]&lt;=19, "Adolescent (13-19)",
IF(Table1[[#This Row],[Age]]&lt;=35, "Young adult (20-35)",
IF(Table1[[#This Row],[Age]]&lt;=59, "Adult (36-59)", "Elderly (60-90)")))))</f>
        <v>Elderly (60-90)</v>
      </c>
      <c r="E279" t="s">
        <v>16</v>
      </c>
      <c r="F279">
        <v>10</v>
      </c>
      <c r="G279" t="str">
        <f>IF(Table1[[#This Row],[Admission_Days]]&lt;=5, "Immediate (1-5)",
IF(Table1[[#This Row],[Admission_Days]]&lt;=10, "Short-term (6-10)",
IF(Table1[[#This Row],[Admission_Days]]&lt;=15, "Medium-term (11-15)", "Long-term (16-20)")))</f>
        <v>Short-term (6-10)</v>
      </c>
      <c r="H279" t="s">
        <v>17</v>
      </c>
      <c r="I279">
        <v>5</v>
      </c>
      <c r="J279">
        <v>3</v>
      </c>
      <c r="K279" s="1">
        <v>600000</v>
      </c>
      <c r="L279" t="str">
        <f>IF(Table1[[#This Row],[Surgery_Cost_NGN]]&gt;0, "Yes", "No")</f>
        <v>Yes</v>
      </c>
      <c r="M279" s="1">
        <v>857001</v>
      </c>
      <c r="N279" t="str">
        <f>IF(Table1[[#This Row],[Surgery_Cost_NGN]]&gt;Table1[[#This Row],[Bill_Amount_NGN]], "Anomaly detected", "Valid")</f>
        <v>Valid</v>
      </c>
      <c r="O279" s="1">
        <f t="shared" si="4"/>
        <v>70.011586917634872</v>
      </c>
    </row>
    <row r="280" spans="1:15" x14ac:dyDescent="0.35">
      <c r="A280" t="s">
        <v>342</v>
      </c>
      <c r="B280" t="s">
        <v>10</v>
      </c>
      <c r="C280">
        <v>34</v>
      </c>
      <c r="D280" t="str">
        <f>IF(Table1[[#This Row],[Age]]&lt;=4, "Toddler (0-4)",
IF(Table1[[#This Row],[Age]]&lt;=12, "Child (5-12)",
IF(Table1[[#This Row],[Age]]&lt;=19, "Adolescent (13-19)",
IF(Table1[[#This Row],[Age]]&lt;=35, "Young adult (20-35)",
IF(Table1[[#This Row],[Age]]&lt;=59, "Adult (36-59)", "Elderly (60-90)")))))</f>
        <v>Young adult (20-35)</v>
      </c>
      <c r="E280" t="s">
        <v>14</v>
      </c>
      <c r="F280">
        <v>17</v>
      </c>
      <c r="G280" t="str">
        <f>IF(Table1[[#This Row],[Admission_Days]]&lt;=5, "Immediate (1-5)",
IF(Table1[[#This Row],[Admission_Days]]&lt;=10, "Short-term (6-10)",
IF(Table1[[#This Row],[Admission_Days]]&lt;=15, "Medium-term (11-15)", "Long-term (16-20)")))</f>
        <v>Long-term (16-20)</v>
      </c>
      <c r="H280" t="s">
        <v>21</v>
      </c>
      <c r="I280">
        <v>0</v>
      </c>
      <c r="J280">
        <v>8</v>
      </c>
      <c r="K280" s="1">
        <v>150000</v>
      </c>
      <c r="L280" t="str">
        <f>IF(Table1[[#This Row],[Surgery_Cost_NGN]]&gt;0, "Yes", "No")</f>
        <v>Yes</v>
      </c>
      <c r="M280" s="1">
        <v>338377</v>
      </c>
      <c r="N280" t="str">
        <f>IF(Table1[[#This Row],[Surgery_Cost_NGN]]&gt;Table1[[#This Row],[Bill_Amount_NGN]], "Anomaly detected", "Valid")</f>
        <v>Valid</v>
      </c>
      <c r="O280" s="1">
        <f t="shared" si="4"/>
        <v>44.329254056865572</v>
      </c>
    </row>
    <row r="281" spans="1:15" x14ac:dyDescent="0.35">
      <c r="A281" t="s">
        <v>343</v>
      </c>
      <c r="B281" t="s">
        <v>13</v>
      </c>
      <c r="C281">
        <v>7</v>
      </c>
      <c r="D281" t="str">
        <f>IF(Table1[[#This Row],[Age]]&lt;=4, "Toddler (0-4)",
IF(Table1[[#This Row],[Age]]&lt;=12, "Child (5-12)",
IF(Table1[[#This Row],[Age]]&lt;=19, "Adolescent (13-19)",
IF(Table1[[#This Row],[Age]]&lt;=35, "Young adult (20-35)",
IF(Table1[[#This Row],[Age]]&lt;=59, "Adult (36-59)", "Elderly (60-90)")))))</f>
        <v>Child (5-12)</v>
      </c>
      <c r="E281" t="s">
        <v>11</v>
      </c>
      <c r="F281">
        <v>9</v>
      </c>
      <c r="G281" t="str">
        <f>IF(Table1[[#This Row],[Admission_Days]]&lt;=5, "Immediate (1-5)",
IF(Table1[[#This Row],[Admission_Days]]&lt;=10, "Short-term (6-10)",
IF(Table1[[#This Row],[Admission_Days]]&lt;=15, "Medium-term (11-15)", "Long-term (16-20)")))</f>
        <v>Short-term (6-10)</v>
      </c>
      <c r="H281" t="s">
        <v>18</v>
      </c>
      <c r="I281">
        <v>0</v>
      </c>
      <c r="J281">
        <v>2</v>
      </c>
      <c r="K281" s="1">
        <v>400000</v>
      </c>
      <c r="L281" t="str">
        <f>IF(Table1[[#This Row],[Surgery_Cost_NGN]]&gt;0, "Yes", "No")</f>
        <v>Yes</v>
      </c>
      <c r="M281" s="1">
        <v>473961</v>
      </c>
      <c r="N281" t="str">
        <f>IF(Table1[[#This Row],[Surgery_Cost_NGN]]&gt;Table1[[#This Row],[Bill_Amount_NGN]], "Anomaly detected", "Valid")</f>
        <v>Valid</v>
      </c>
      <c r="O281" s="1">
        <f t="shared" si="4"/>
        <v>84.395129557073261</v>
      </c>
    </row>
    <row r="282" spans="1:15" x14ac:dyDescent="0.35">
      <c r="A282" t="s">
        <v>344</v>
      </c>
      <c r="B282" t="s">
        <v>13</v>
      </c>
      <c r="C282">
        <v>68</v>
      </c>
      <c r="D282" t="str">
        <f>IF(Table1[[#This Row],[Age]]&lt;=4, "Toddler (0-4)",
IF(Table1[[#This Row],[Age]]&lt;=12, "Child (5-12)",
IF(Table1[[#This Row],[Age]]&lt;=19, "Adolescent (13-19)",
IF(Table1[[#This Row],[Age]]&lt;=35, "Young adult (20-35)",
IF(Table1[[#This Row],[Age]]&lt;=59, "Adult (36-59)", "Elderly (60-90)")))))</f>
        <v>Elderly (60-90)</v>
      </c>
      <c r="E282" t="s">
        <v>11</v>
      </c>
      <c r="F282">
        <v>19</v>
      </c>
      <c r="G282" t="str">
        <f>IF(Table1[[#This Row],[Admission_Days]]&lt;=5, "Immediate (1-5)",
IF(Table1[[#This Row],[Admission_Days]]&lt;=10, "Short-term (6-10)",
IF(Table1[[#This Row],[Admission_Days]]&lt;=15, "Medium-term (11-15)", "Long-term (16-20)")))</f>
        <v>Long-term (16-20)</v>
      </c>
      <c r="H282" t="s">
        <v>17</v>
      </c>
      <c r="I282">
        <v>4</v>
      </c>
      <c r="J282">
        <v>9</v>
      </c>
      <c r="K282" s="1">
        <v>0</v>
      </c>
      <c r="L282" t="str">
        <f>IF(Table1[[#This Row],[Surgery_Cost_NGN]]&gt;0, "Yes", "No")</f>
        <v>No</v>
      </c>
      <c r="M282" s="1">
        <v>0</v>
      </c>
      <c r="N282" t="str">
        <f>IF(Table1[[#This Row],[Surgery_Cost_NGN]]&gt;Table1[[#This Row],[Bill_Amount_NGN]], "Anomaly detected", "Valid")</f>
        <v>Valid</v>
      </c>
      <c r="O282" s="1">
        <f t="shared" si="4"/>
        <v>0</v>
      </c>
    </row>
    <row r="283" spans="1:15" x14ac:dyDescent="0.35">
      <c r="A283" t="s">
        <v>345</v>
      </c>
      <c r="B283" t="s">
        <v>13</v>
      </c>
      <c r="C283">
        <v>58</v>
      </c>
      <c r="D283" t="str">
        <f>IF(Table1[[#This Row],[Age]]&lt;=4, "Toddler (0-4)",
IF(Table1[[#This Row],[Age]]&lt;=12, "Child (5-12)",
IF(Table1[[#This Row],[Age]]&lt;=19, "Adolescent (13-19)",
IF(Table1[[#This Row],[Age]]&lt;=35, "Young adult (20-35)",
IF(Table1[[#This Row],[Age]]&lt;=59, "Adult (36-59)", "Elderly (60-90)")))))</f>
        <v>Adult (36-59)</v>
      </c>
      <c r="E283" t="s">
        <v>20</v>
      </c>
      <c r="F283">
        <v>14</v>
      </c>
      <c r="G283" t="str">
        <f>IF(Table1[[#This Row],[Admission_Days]]&lt;=5, "Immediate (1-5)",
IF(Table1[[#This Row],[Admission_Days]]&lt;=10, "Short-term (6-10)",
IF(Table1[[#This Row],[Admission_Days]]&lt;=15, "Medium-term (11-15)", "Long-term (16-20)")))</f>
        <v>Medium-term (11-15)</v>
      </c>
      <c r="H283" t="s">
        <v>21</v>
      </c>
      <c r="I283">
        <v>4</v>
      </c>
      <c r="J283">
        <v>3</v>
      </c>
      <c r="K283" s="1">
        <v>600000</v>
      </c>
      <c r="L283" t="str">
        <f>IF(Table1[[#This Row],[Surgery_Cost_NGN]]&gt;0, "Yes", "No")</f>
        <v>Yes</v>
      </c>
      <c r="M283" s="1">
        <v>873544</v>
      </c>
      <c r="N283" t="str">
        <f>IF(Table1[[#This Row],[Surgery_Cost_NGN]]&gt;Table1[[#This Row],[Bill_Amount_NGN]], "Anomaly detected", "Valid")</f>
        <v>Valid</v>
      </c>
      <c r="O283" s="1">
        <f t="shared" si="4"/>
        <v>68.685721612191259</v>
      </c>
    </row>
    <row r="284" spans="1:15" x14ac:dyDescent="0.35">
      <c r="A284" t="s">
        <v>346</v>
      </c>
      <c r="B284" t="s">
        <v>13</v>
      </c>
      <c r="C284">
        <v>75</v>
      </c>
      <c r="D284" t="str">
        <f>IF(Table1[[#This Row],[Age]]&lt;=4, "Toddler (0-4)",
IF(Table1[[#This Row],[Age]]&lt;=12, "Child (5-12)",
IF(Table1[[#This Row],[Age]]&lt;=19, "Adolescent (13-19)",
IF(Table1[[#This Row],[Age]]&lt;=35, "Young adult (20-35)",
IF(Table1[[#This Row],[Age]]&lt;=59, "Adult (36-59)", "Elderly (60-90)")))))</f>
        <v>Elderly (60-90)</v>
      </c>
      <c r="E284" t="s">
        <v>22</v>
      </c>
      <c r="F284">
        <v>8</v>
      </c>
      <c r="G284" t="str">
        <f>IF(Table1[[#This Row],[Admission_Days]]&lt;=5, "Immediate (1-5)",
IF(Table1[[#This Row],[Admission_Days]]&lt;=10, "Short-term (6-10)",
IF(Table1[[#This Row],[Admission_Days]]&lt;=15, "Medium-term (11-15)", "Long-term (16-20)")))</f>
        <v>Short-term (6-10)</v>
      </c>
      <c r="H284" t="s">
        <v>18</v>
      </c>
      <c r="I284">
        <v>2</v>
      </c>
      <c r="J284">
        <v>5</v>
      </c>
      <c r="K284" s="1">
        <v>250000</v>
      </c>
      <c r="L284" t="str">
        <f>IF(Table1[[#This Row],[Surgery_Cost_NGN]]&gt;0, "Yes", "No")</f>
        <v>Yes</v>
      </c>
      <c r="M284" s="1">
        <v>355980</v>
      </c>
      <c r="N284" t="str">
        <f>IF(Table1[[#This Row],[Surgery_Cost_NGN]]&gt;Table1[[#This Row],[Bill_Amount_NGN]], "Anomaly detected", "Valid")</f>
        <v>Valid</v>
      </c>
      <c r="O284" s="1">
        <f t="shared" si="4"/>
        <v>70.228664531715268</v>
      </c>
    </row>
    <row r="285" spans="1:15" x14ac:dyDescent="0.35">
      <c r="A285" t="s">
        <v>347</v>
      </c>
      <c r="B285" t="s">
        <v>10</v>
      </c>
      <c r="C285">
        <v>29</v>
      </c>
      <c r="D285" t="str">
        <f>IF(Table1[[#This Row],[Age]]&lt;=4, "Toddler (0-4)",
IF(Table1[[#This Row],[Age]]&lt;=12, "Child (5-12)",
IF(Table1[[#This Row],[Age]]&lt;=19, "Adolescent (13-19)",
IF(Table1[[#This Row],[Age]]&lt;=35, "Young adult (20-35)",
IF(Table1[[#This Row],[Age]]&lt;=59, "Adult (36-59)", "Elderly (60-90)")))))</f>
        <v>Young adult (20-35)</v>
      </c>
      <c r="E285" t="s">
        <v>14</v>
      </c>
      <c r="F285">
        <v>9</v>
      </c>
      <c r="G285" t="str">
        <f>IF(Table1[[#This Row],[Admission_Days]]&lt;=5, "Immediate (1-5)",
IF(Table1[[#This Row],[Admission_Days]]&lt;=10, "Short-term (6-10)",
IF(Table1[[#This Row],[Admission_Days]]&lt;=15, "Medium-term (11-15)", "Long-term (16-20)")))</f>
        <v>Short-term (6-10)</v>
      </c>
      <c r="H285" t="s">
        <v>15</v>
      </c>
      <c r="I285">
        <v>5</v>
      </c>
      <c r="J285">
        <v>8</v>
      </c>
      <c r="K285" s="1">
        <v>0</v>
      </c>
      <c r="L285" t="str">
        <f>IF(Table1[[#This Row],[Surgery_Cost_NGN]]&gt;0, "Yes", "No")</f>
        <v>No</v>
      </c>
      <c r="M285" s="1">
        <v>198703</v>
      </c>
      <c r="N285" t="str">
        <f>IF(Table1[[#This Row],[Surgery_Cost_NGN]]&gt;Table1[[#This Row],[Bill_Amount_NGN]], "Anomaly detected", "Valid")</f>
        <v>Valid</v>
      </c>
      <c r="O285" s="1">
        <f t="shared" si="4"/>
        <v>0</v>
      </c>
    </row>
    <row r="286" spans="1:15" x14ac:dyDescent="0.35">
      <c r="A286" t="s">
        <v>348</v>
      </c>
      <c r="B286" t="s">
        <v>13</v>
      </c>
      <c r="C286">
        <v>36</v>
      </c>
      <c r="D286" t="str">
        <f>IF(Table1[[#This Row],[Age]]&lt;=4, "Toddler (0-4)",
IF(Table1[[#This Row],[Age]]&lt;=12, "Child (5-12)",
IF(Table1[[#This Row],[Age]]&lt;=19, "Adolescent (13-19)",
IF(Table1[[#This Row],[Age]]&lt;=35, "Young adult (20-35)",
IF(Table1[[#This Row],[Age]]&lt;=59, "Adult (36-59)", "Elderly (60-90)")))))</f>
        <v>Adult (36-59)</v>
      </c>
      <c r="E286" t="s">
        <v>22</v>
      </c>
      <c r="F286">
        <v>11</v>
      </c>
      <c r="G286" t="str">
        <f>IF(Table1[[#This Row],[Admission_Days]]&lt;=5, "Immediate (1-5)",
IF(Table1[[#This Row],[Admission_Days]]&lt;=10, "Short-term (6-10)",
IF(Table1[[#This Row],[Admission_Days]]&lt;=15, "Medium-term (11-15)", "Long-term (16-20)")))</f>
        <v>Medium-term (11-15)</v>
      </c>
      <c r="H286" t="s">
        <v>18</v>
      </c>
      <c r="I286">
        <v>1</v>
      </c>
      <c r="J286">
        <v>2</v>
      </c>
      <c r="K286" s="1">
        <v>0</v>
      </c>
      <c r="L286" t="str">
        <f>IF(Table1[[#This Row],[Surgery_Cost_NGN]]&gt;0, "Yes", "No")</f>
        <v>No</v>
      </c>
      <c r="M286" s="1">
        <v>149465</v>
      </c>
      <c r="N286" t="str">
        <f>IF(Table1[[#This Row],[Surgery_Cost_NGN]]&gt;Table1[[#This Row],[Bill_Amount_NGN]], "Anomaly detected", "Valid")</f>
        <v>Valid</v>
      </c>
      <c r="O286" s="1">
        <f t="shared" si="4"/>
        <v>0</v>
      </c>
    </row>
    <row r="287" spans="1:15" x14ac:dyDescent="0.35">
      <c r="A287" t="s">
        <v>349</v>
      </c>
      <c r="B287" t="s">
        <v>10</v>
      </c>
      <c r="C287">
        <v>21</v>
      </c>
      <c r="D287" t="str">
        <f>IF(Table1[[#This Row],[Age]]&lt;=4, "Toddler (0-4)",
IF(Table1[[#This Row],[Age]]&lt;=12, "Child (5-12)",
IF(Table1[[#This Row],[Age]]&lt;=19, "Adolescent (13-19)",
IF(Table1[[#This Row],[Age]]&lt;=35, "Young adult (20-35)",
IF(Table1[[#This Row],[Age]]&lt;=59, "Adult (36-59)", "Elderly (60-90)")))))</f>
        <v>Young adult (20-35)</v>
      </c>
      <c r="E287" t="s">
        <v>14</v>
      </c>
      <c r="F287">
        <v>1</v>
      </c>
      <c r="G287" t="str">
        <f>IF(Table1[[#This Row],[Admission_Days]]&lt;=5, "Immediate (1-5)",
IF(Table1[[#This Row],[Admission_Days]]&lt;=10, "Short-term (6-10)",
IF(Table1[[#This Row],[Admission_Days]]&lt;=15, "Medium-term (11-15)", "Long-term (16-20)")))</f>
        <v>Immediate (1-5)</v>
      </c>
      <c r="H287" t="s">
        <v>12</v>
      </c>
      <c r="I287">
        <v>3</v>
      </c>
      <c r="J287">
        <v>6</v>
      </c>
      <c r="K287" s="1">
        <v>0</v>
      </c>
      <c r="L287" t="str">
        <f>IF(Table1[[#This Row],[Surgery_Cost_NGN]]&gt;0, "Yes", "No")</f>
        <v>No</v>
      </c>
      <c r="M287" s="1">
        <v>71583</v>
      </c>
      <c r="N287" t="str">
        <f>IF(Table1[[#This Row],[Surgery_Cost_NGN]]&gt;Table1[[#This Row],[Bill_Amount_NGN]], "Anomaly detected", "Valid")</f>
        <v>Valid</v>
      </c>
      <c r="O287" s="1">
        <f t="shared" si="4"/>
        <v>0</v>
      </c>
    </row>
    <row r="288" spans="1:15" x14ac:dyDescent="0.35">
      <c r="A288" t="s">
        <v>350</v>
      </c>
      <c r="B288" t="s">
        <v>10</v>
      </c>
      <c r="C288">
        <v>36</v>
      </c>
      <c r="D288" t="str">
        <f>IF(Table1[[#This Row],[Age]]&lt;=4, "Toddler (0-4)",
IF(Table1[[#This Row],[Age]]&lt;=12, "Child (5-12)",
IF(Table1[[#This Row],[Age]]&lt;=19, "Adolescent (13-19)",
IF(Table1[[#This Row],[Age]]&lt;=35, "Young adult (20-35)",
IF(Table1[[#This Row],[Age]]&lt;=59, "Adult (36-59)", "Elderly (60-90)")))))</f>
        <v>Adult (36-59)</v>
      </c>
      <c r="E288" t="s">
        <v>20</v>
      </c>
      <c r="F288">
        <v>14</v>
      </c>
      <c r="G288" t="str">
        <f>IF(Table1[[#This Row],[Admission_Days]]&lt;=5, "Immediate (1-5)",
IF(Table1[[#This Row],[Admission_Days]]&lt;=10, "Short-term (6-10)",
IF(Table1[[#This Row],[Admission_Days]]&lt;=15, "Medium-term (11-15)", "Long-term (16-20)")))</f>
        <v>Medium-term (11-15)</v>
      </c>
      <c r="H288" t="s">
        <v>18</v>
      </c>
      <c r="I288">
        <v>2</v>
      </c>
      <c r="J288">
        <v>5</v>
      </c>
      <c r="K288" s="1">
        <v>0</v>
      </c>
      <c r="L288" t="str">
        <f>IF(Table1[[#This Row],[Surgery_Cost_NGN]]&gt;0, "Yes", "No")</f>
        <v>No</v>
      </c>
      <c r="M288" s="1">
        <v>210178</v>
      </c>
      <c r="N288" t="str">
        <f>IF(Table1[[#This Row],[Surgery_Cost_NGN]]&gt;Table1[[#This Row],[Bill_Amount_NGN]], "Anomaly detected", "Valid")</f>
        <v>Valid</v>
      </c>
      <c r="O288" s="1">
        <f t="shared" si="4"/>
        <v>0</v>
      </c>
    </row>
    <row r="289" spans="1:15" x14ac:dyDescent="0.35">
      <c r="A289" t="s">
        <v>351</v>
      </c>
      <c r="B289" t="s">
        <v>10</v>
      </c>
      <c r="C289">
        <v>10</v>
      </c>
      <c r="D289" t="str">
        <f>IF(Table1[[#This Row],[Age]]&lt;=4, "Toddler (0-4)",
IF(Table1[[#This Row],[Age]]&lt;=12, "Child (5-12)",
IF(Table1[[#This Row],[Age]]&lt;=19, "Adolescent (13-19)",
IF(Table1[[#This Row],[Age]]&lt;=35, "Young adult (20-35)",
IF(Table1[[#This Row],[Age]]&lt;=59, "Adult (36-59)", "Elderly (60-90)")))))</f>
        <v>Child (5-12)</v>
      </c>
      <c r="E289" t="s">
        <v>20</v>
      </c>
      <c r="F289">
        <v>5</v>
      </c>
      <c r="G289" t="str">
        <f>IF(Table1[[#This Row],[Admission_Days]]&lt;=5, "Immediate (1-5)",
IF(Table1[[#This Row],[Admission_Days]]&lt;=10, "Short-term (6-10)",
IF(Table1[[#This Row],[Admission_Days]]&lt;=15, "Medium-term (11-15)", "Long-term (16-20)")))</f>
        <v>Immediate (1-5)</v>
      </c>
      <c r="H289" t="s">
        <v>18</v>
      </c>
      <c r="I289">
        <v>4</v>
      </c>
      <c r="J289">
        <v>9</v>
      </c>
      <c r="K289" s="1">
        <v>0</v>
      </c>
      <c r="L289" t="str">
        <f>IF(Table1[[#This Row],[Surgery_Cost_NGN]]&gt;0, "Yes", "No")</f>
        <v>No</v>
      </c>
      <c r="M289" s="1">
        <v>189602</v>
      </c>
      <c r="N289" t="str">
        <f>IF(Table1[[#This Row],[Surgery_Cost_NGN]]&gt;Table1[[#This Row],[Bill_Amount_NGN]], "Anomaly detected", "Valid")</f>
        <v>Valid</v>
      </c>
      <c r="O289" s="1">
        <f t="shared" si="4"/>
        <v>0</v>
      </c>
    </row>
    <row r="290" spans="1:15" x14ac:dyDescent="0.35">
      <c r="A290" t="s">
        <v>352</v>
      </c>
      <c r="B290" t="s">
        <v>10</v>
      </c>
      <c r="C290">
        <v>73</v>
      </c>
      <c r="D290" t="str">
        <f>IF(Table1[[#This Row],[Age]]&lt;=4, "Toddler (0-4)",
IF(Table1[[#This Row],[Age]]&lt;=12, "Child (5-12)",
IF(Table1[[#This Row],[Age]]&lt;=19, "Adolescent (13-19)",
IF(Table1[[#This Row],[Age]]&lt;=35, "Young adult (20-35)",
IF(Table1[[#This Row],[Age]]&lt;=59, "Adult (36-59)", "Elderly (60-90)")))))</f>
        <v>Elderly (60-90)</v>
      </c>
      <c r="E290" t="s">
        <v>11</v>
      </c>
      <c r="F290">
        <v>14</v>
      </c>
      <c r="G290" t="str">
        <f>IF(Table1[[#This Row],[Admission_Days]]&lt;=5, "Immediate (1-5)",
IF(Table1[[#This Row],[Admission_Days]]&lt;=10, "Short-term (6-10)",
IF(Table1[[#This Row],[Admission_Days]]&lt;=15, "Medium-term (11-15)", "Long-term (16-20)")))</f>
        <v>Medium-term (11-15)</v>
      </c>
      <c r="H290" t="s">
        <v>12</v>
      </c>
      <c r="I290">
        <v>3</v>
      </c>
      <c r="J290">
        <v>5</v>
      </c>
      <c r="K290" s="1">
        <v>0</v>
      </c>
      <c r="L290" t="str">
        <f>IF(Table1[[#This Row],[Surgery_Cost_NGN]]&gt;0, "Yes", "No")</f>
        <v>No</v>
      </c>
      <c r="M290" s="1">
        <v>144510</v>
      </c>
      <c r="N290" t="str">
        <f>IF(Table1[[#This Row],[Surgery_Cost_NGN]]&gt;Table1[[#This Row],[Bill_Amount_NGN]], "Anomaly detected", "Valid")</f>
        <v>Valid</v>
      </c>
      <c r="O290" s="1">
        <f t="shared" si="4"/>
        <v>0</v>
      </c>
    </row>
    <row r="291" spans="1:15" x14ac:dyDescent="0.35">
      <c r="A291" t="s">
        <v>353</v>
      </c>
      <c r="B291" t="s">
        <v>13</v>
      </c>
      <c r="C291">
        <v>24</v>
      </c>
      <c r="D291" t="str">
        <f>IF(Table1[[#This Row],[Age]]&lt;=4, "Toddler (0-4)",
IF(Table1[[#This Row],[Age]]&lt;=12, "Child (5-12)",
IF(Table1[[#This Row],[Age]]&lt;=19, "Adolescent (13-19)",
IF(Table1[[#This Row],[Age]]&lt;=35, "Young adult (20-35)",
IF(Table1[[#This Row],[Age]]&lt;=59, "Adult (36-59)", "Elderly (60-90)")))))</f>
        <v>Young adult (20-35)</v>
      </c>
      <c r="E291" t="s">
        <v>22</v>
      </c>
      <c r="F291">
        <v>4</v>
      </c>
      <c r="G291" t="str">
        <f>IF(Table1[[#This Row],[Admission_Days]]&lt;=5, "Immediate (1-5)",
IF(Table1[[#This Row],[Admission_Days]]&lt;=10, "Short-term (6-10)",
IF(Table1[[#This Row],[Admission_Days]]&lt;=15, "Medium-term (11-15)", "Long-term (16-20)")))</f>
        <v>Immediate (1-5)</v>
      </c>
      <c r="H291" t="s">
        <v>21</v>
      </c>
      <c r="I291">
        <v>4</v>
      </c>
      <c r="J291">
        <v>2</v>
      </c>
      <c r="K291" s="1">
        <v>400000</v>
      </c>
      <c r="L291" t="str">
        <f>IF(Table1[[#This Row],[Surgery_Cost_NGN]]&gt;0, "Yes", "No")</f>
        <v>Yes</v>
      </c>
      <c r="M291" s="1">
        <v>508356</v>
      </c>
      <c r="N291" t="str">
        <f>IF(Table1[[#This Row],[Surgery_Cost_NGN]]&gt;Table1[[#This Row],[Bill_Amount_NGN]], "Anomaly detected", "Valid")</f>
        <v>Valid</v>
      </c>
      <c r="O291" s="1">
        <f t="shared" si="4"/>
        <v>78.685016012400752</v>
      </c>
    </row>
    <row r="292" spans="1:15" x14ac:dyDescent="0.35">
      <c r="A292" t="s">
        <v>354</v>
      </c>
      <c r="B292" t="s">
        <v>10</v>
      </c>
      <c r="C292">
        <v>64</v>
      </c>
      <c r="D292" t="str">
        <f>IF(Table1[[#This Row],[Age]]&lt;=4, "Toddler (0-4)",
IF(Table1[[#This Row],[Age]]&lt;=12, "Child (5-12)",
IF(Table1[[#This Row],[Age]]&lt;=19, "Adolescent (13-19)",
IF(Table1[[#This Row],[Age]]&lt;=35, "Young adult (20-35)",
IF(Table1[[#This Row],[Age]]&lt;=59, "Adult (36-59)", "Elderly (60-90)")))))</f>
        <v>Elderly (60-90)</v>
      </c>
      <c r="E292" t="s">
        <v>19</v>
      </c>
      <c r="F292">
        <v>1</v>
      </c>
      <c r="G292" t="str">
        <f>IF(Table1[[#This Row],[Admission_Days]]&lt;=5, "Immediate (1-5)",
IF(Table1[[#This Row],[Admission_Days]]&lt;=10, "Short-term (6-10)",
IF(Table1[[#This Row],[Admission_Days]]&lt;=15, "Medium-term (11-15)", "Long-term (16-20)")))</f>
        <v>Immediate (1-5)</v>
      </c>
      <c r="H292" t="s">
        <v>21</v>
      </c>
      <c r="I292">
        <v>3</v>
      </c>
      <c r="J292">
        <v>5</v>
      </c>
      <c r="K292" s="1">
        <v>150000</v>
      </c>
      <c r="L292" t="str">
        <f>IF(Table1[[#This Row],[Surgery_Cost_NGN]]&gt;0, "Yes", "No")</f>
        <v>Yes</v>
      </c>
      <c r="M292" s="1">
        <v>230285</v>
      </c>
      <c r="N292" t="str">
        <f>IF(Table1[[#This Row],[Surgery_Cost_NGN]]&gt;Table1[[#This Row],[Bill_Amount_NGN]], "Anomaly detected", "Valid")</f>
        <v>Valid</v>
      </c>
      <c r="O292" s="1">
        <f t="shared" si="4"/>
        <v>65.136678463642866</v>
      </c>
    </row>
    <row r="293" spans="1:15" x14ac:dyDescent="0.35">
      <c r="A293" t="s">
        <v>355</v>
      </c>
      <c r="B293" t="s">
        <v>10</v>
      </c>
      <c r="C293">
        <v>49</v>
      </c>
      <c r="D293" t="str">
        <f>IF(Table1[[#This Row],[Age]]&lt;=4, "Toddler (0-4)",
IF(Table1[[#This Row],[Age]]&lt;=12, "Child (5-12)",
IF(Table1[[#This Row],[Age]]&lt;=19, "Adolescent (13-19)",
IF(Table1[[#This Row],[Age]]&lt;=35, "Young adult (20-35)",
IF(Table1[[#This Row],[Age]]&lt;=59, "Adult (36-59)", "Elderly (60-90)")))))</f>
        <v>Adult (36-59)</v>
      </c>
      <c r="E293" t="s">
        <v>11</v>
      </c>
      <c r="F293">
        <v>19</v>
      </c>
      <c r="G293" t="str">
        <f>IF(Table1[[#This Row],[Admission_Days]]&lt;=5, "Immediate (1-5)",
IF(Table1[[#This Row],[Admission_Days]]&lt;=10, "Short-term (6-10)",
IF(Table1[[#This Row],[Admission_Days]]&lt;=15, "Medium-term (11-15)", "Long-term (16-20)")))</f>
        <v>Long-term (16-20)</v>
      </c>
      <c r="H293" t="s">
        <v>18</v>
      </c>
      <c r="I293">
        <v>1</v>
      </c>
      <c r="J293">
        <v>4</v>
      </c>
      <c r="K293" s="1">
        <v>0</v>
      </c>
      <c r="L293" t="str">
        <f>IF(Table1[[#This Row],[Surgery_Cost_NGN]]&gt;0, "Yes", "No")</f>
        <v>No</v>
      </c>
      <c r="M293" s="1">
        <v>199254</v>
      </c>
      <c r="N293" t="str">
        <f>IF(Table1[[#This Row],[Surgery_Cost_NGN]]&gt;Table1[[#This Row],[Bill_Amount_NGN]], "Anomaly detected", "Valid")</f>
        <v>Valid</v>
      </c>
      <c r="O293" s="1">
        <f t="shared" si="4"/>
        <v>0</v>
      </c>
    </row>
    <row r="294" spans="1:15" x14ac:dyDescent="0.35">
      <c r="A294" t="s">
        <v>356</v>
      </c>
      <c r="B294" t="s">
        <v>10</v>
      </c>
      <c r="C294">
        <v>36</v>
      </c>
      <c r="D294" t="str">
        <f>IF(Table1[[#This Row],[Age]]&lt;=4, "Toddler (0-4)",
IF(Table1[[#This Row],[Age]]&lt;=12, "Child (5-12)",
IF(Table1[[#This Row],[Age]]&lt;=19, "Adolescent (13-19)",
IF(Table1[[#This Row],[Age]]&lt;=35, "Young adult (20-35)",
IF(Table1[[#This Row],[Age]]&lt;=59, "Adult (36-59)", "Elderly (60-90)")))))</f>
        <v>Adult (36-59)</v>
      </c>
      <c r="E294" t="s">
        <v>22</v>
      </c>
      <c r="F294">
        <v>8</v>
      </c>
      <c r="G294" t="str">
        <f>IF(Table1[[#This Row],[Admission_Days]]&lt;=5, "Immediate (1-5)",
IF(Table1[[#This Row],[Admission_Days]]&lt;=10, "Short-term (6-10)",
IF(Table1[[#This Row],[Admission_Days]]&lt;=15, "Medium-term (11-15)", "Long-term (16-20)")))</f>
        <v>Short-term (6-10)</v>
      </c>
      <c r="H294" t="s">
        <v>12</v>
      </c>
      <c r="I294">
        <v>2</v>
      </c>
      <c r="J294">
        <v>7</v>
      </c>
      <c r="K294" s="1">
        <v>0</v>
      </c>
      <c r="L294" t="str">
        <f>IF(Table1[[#This Row],[Surgery_Cost_NGN]]&gt;0, "Yes", "No")</f>
        <v>No</v>
      </c>
      <c r="M294" s="1">
        <v>157727</v>
      </c>
      <c r="N294" t="str">
        <f>IF(Table1[[#This Row],[Surgery_Cost_NGN]]&gt;Table1[[#This Row],[Bill_Amount_NGN]], "Anomaly detected", "Valid")</f>
        <v>Valid</v>
      </c>
      <c r="O294" s="1">
        <f t="shared" si="4"/>
        <v>0</v>
      </c>
    </row>
    <row r="295" spans="1:15" x14ac:dyDescent="0.35">
      <c r="A295" t="s">
        <v>357</v>
      </c>
      <c r="B295" t="s">
        <v>13</v>
      </c>
      <c r="C295">
        <v>82</v>
      </c>
      <c r="D295" t="str">
        <f>IF(Table1[[#This Row],[Age]]&lt;=4, "Toddler (0-4)",
IF(Table1[[#This Row],[Age]]&lt;=12, "Child (5-12)",
IF(Table1[[#This Row],[Age]]&lt;=19, "Adolescent (13-19)",
IF(Table1[[#This Row],[Age]]&lt;=35, "Young adult (20-35)",
IF(Table1[[#This Row],[Age]]&lt;=59, "Adult (36-59)", "Elderly (60-90)")))))</f>
        <v>Elderly (60-90)</v>
      </c>
      <c r="E295" t="s">
        <v>11</v>
      </c>
      <c r="F295">
        <v>15</v>
      </c>
      <c r="G295" t="str">
        <f>IF(Table1[[#This Row],[Admission_Days]]&lt;=5, "Immediate (1-5)",
IF(Table1[[#This Row],[Admission_Days]]&lt;=10, "Short-term (6-10)",
IF(Table1[[#This Row],[Admission_Days]]&lt;=15, "Medium-term (11-15)", "Long-term (16-20)")))</f>
        <v>Medium-term (11-15)</v>
      </c>
      <c r="H295" t="s">
        <v>12</v>
      </c>
      <c r="I295">
        <v>3</v>
      </c>
      <c r="J295">
        <v>6</v>
      </c>
      <c r="K295" s="1">
        <v>0</v>
      </c>
      <c r="L295" t="str">
        <f>IF(Table1[[#This Row],[Surgery_Cost_NGN]]&gt;0, "Yes", "No")</f>
        <v>No</v>
      </c>
      <c r="M295" s="1">
        <v>209001</v>
      </c>
      <c r="N295" t="str">
        <f>IF(Table1[[#This Row],[Surgery_Cost_NGN]]&gt;Table1[[#This Row],[Bill_Amount_NGN]], "Anomaly detected", "Valid")</f>
        <v>Valid</v>
      </c>
      <c r="O295" s="1">
        <f t="shared" si="4"/>
        <v>0</v>
      </c>
    </row>
    <row r="296" spans="1:15" x14ac:dyDescent="0.35">
      <c r="A296" t="s">
        <v>358</v>
      </c>
      <c r="B296" t="s">
        <v>13</v>
      </c>
      <c r="C296">
        <v>24</v>
      </c>
      <c r="D296" t="str">
        <f>IF(Table1[[#This Row],[Age]]&lt;=4, "Toddler (0-4)",
IF(Table1[[#This Row],[Age]]&lt;=12, "Child (5-12)",
IF(Table1[[#This Row],[Age]]&lt;=19, "Adolescent (13-19)",
IF(Table1[[#This Row],[Age]]&lt;=35, "Young adult (20-35)",
IF(Table1[[#This Row],[Age]]&lt;=59, "Adult (36-59)", "Elderly (60-90)")))))</f>
        <v>Young adult (20-35)</v>
      </c>
      <c r="E296" t="s">
        <v>19</v>
      </c>
      <c r="F296">
        <v>15</v>
      </c>
      <c r="G296" t="str">
        <f>IF(Table1[[#This Row],[Admission_Days]]&lt;=5, "Immediate (1-5)",
IF(Table1[[#This Row],[Admission_Days]]&lt;=10, "Short-term (6-10)",
IF(Table1[[#This Row],[Admission_Days]]&lt;=15, "Medium-term (11-15)", "Long-term (16-20)")))</f>
        <v>Medium-term (11-15)</v>
      </c>
      <c r="H296" t="s">
        <v>15</v>
      </c>
      <c r="I296">
        <v>5</v>
      </c>
      <c r="J296">
        <v>2</v>
      </c>
      <c r="K296" s="1">
        <v>0</v>
      </c>
      <c r="L296" t="str">
        <f>IF(Table1[[#This Row],[Surgery_Cost_NGN]]&gt;0, "Yes", "No")</f>
        <v>No</v>
      </c>
      <c r="M296" s="1">
        <v>290699</v>
      </c>
      <c r="N296" t="str">
        <f>IF(Table1[[#This Row],[Surgery_Cost_NGN]]&gt;Table1[[#This Row],[Bill_Amount_NGN]], "Anomaly detected", "Valid")</f>
        <v>Valid</v>
      </c>
      <c r="O296" s="1">
        <f t="shared" si="4"/>
        <v>0</v>
      </c>
    </row>
    <row r="297" spans="1:15" x14ac:dyDescent="0.35">
      <c r="A297" t="s">
        <v>359</v>
      </c>
      <c r="B297" t="s">
        <v>13</v>
      </c>
      <c r="C297">
        <v>23</v>
      </c>
      <c r="D297" t="str">
        <f>IF(Table1[[#This Row],[Age]]&lt;=4, "Toddler (0-4)",
IF(Table1[[#This Row],[Age]]&lt;=12, "Child (5-12)",
IF(Table1[[#This Row],[Age]]&lt;=19, "Adolescent (13-19)",
IF(Table1[[#This Row],[Age]]&lt;=35, "Young adult (20-35)",
IF(Table1[[#This Row],[Age]]&lt;=59, "Adult (36-59)", "Elderly (60-90)")))))</f>
        <v>Young adult (20-35)</v>
      </c>
      <c r="E297" t="s">
        <v>16</v>
      </c>
      <c r="F297">
        <v>9</v>
      </c>
      <c r="G297" t="str">
        <f>IF(Table1[[#This Row],[Admission_Days]]&lt;=5, "Immediate (1-5)",
IF(Table1[[#This Row],[Admission_Days]]&lt;=10, "Short-term (6-10)",
IF(Table1[[#This Row],[Admission_Days]]&lt;=15, "Medium-term (11-15)", "Long-term (16-20)")))</f>
        <v>Short-term (6-10)</v>
      </c>
      <c r="H297" t="s">
        <v>21</v>
      </c>
      <c r="I297">
        <v>0</v>
      </c>
      <c r="J297">
        <v>5</v>
      </c>
      <c r="K297" s="1">
        <v>0</v>
      </c>
      <c r="L297" t="str">
        <f>IF(Table1[[#This Row],[Surgery_Cost_NGN]]&gt;0, "Yes", "No")</f>
        <v>No</v>
      </c>
      <c r="M297" s="1">
        <v>125447</v>
      </c>
      <c r="N297" t="str">
        <f>IF(Table1[[#This Row],[Surgery_Cost_NGN]]&gt;Table1[[#This Row],[Bill_Amount_NGN]], "Anomaly detected", "Valid")</f>
        <v>Valid</v>
      </c>
      <c r="O297" s="1">
        <f t="shared" si="4"/>
        <v>0</v>
      </c>
    </row>
    <row r="298" spans="1:15" x14ac:dyDescent="0.35">
      <c r="A298" t="s">
        <v>360</v>
      </c>
      <c r="B298" t="s">
        <v>13</v>
      </c>
      <c r="C298">
        <v>62</v>
      </c>
      <c r="D298" t="str">
        <f>IF(Table1[[#This Row],[Age]]&lt;=4, "Toddler (0-4)",
IF(Table1[[#This Row],[Age]]&lt;=12, "Child (5-12)",
IF(Table1[[#This Row],[Age]]&lt;=19, "Adolescent (13-19)",
IF(Table1[[#This Row],[Age]]&lt;=35, "Young adult (20-35)",
IF(Table1[[#This Row],[Age]]&lt;=59, "Adult (36-59)", "Elderly (60-90)")))))</f>
        <v>Elderly (60-90)</v>
      </c>
      <c r="E298" t="s">
        <v>16</v>
      </c>
      <c r="F298">
        <v>9</v>
      </c>
      <c r="G298" t="str">
        <f>IF(Table1[[#This Row],[Admission_Days]]&lt;=5, "Immediate (1-5)",
IF(Table1[[#This Row],[Admission_Days]]&lt;=10, "Short-term (6-10)",
IF(Table1[[#This Row],[Admission_Days]]&lt;=15, "Medium-term (11-15)", "Long-term (16-20)")))</f>
        <v>Short-term (6-10)</v>
      </c>
      <c r="H298" t="s">
        <v>17</v>
      </c>
      <c r="I298">
        <v>5</v>
      </c>
      <c r="J298">
        <v>7</v>
      </c>
      <c r="K298" s="1">
        <v>250000</v>
      </c>
      <c r="L298" t="str">
        <f>IF(Table1[[#This Row],[Surgery_Cost_NGN]]&gt;0, "Yes", "No")</f>
        <v>Yes</v>
      </c>
      <c r="M298" s="1">
        <v>417939</v>
      </c>
      <c r="N298" t="str">
        <f>IF(Table1[[#This Row],[Surgery_Cost_NGN]]&gt;Table1[[#This Row],[Bill_Amount_NGN]], "Anomaly detected", "Valid")</f>
        <v>Valid</v>
      </c>
      <c r="O298" s="1">
        <f t="shared" si="4"/>
        <v>59.81734176518583</v>
      </c>
    </row>
    <row r="299" spans="1:15" x14ac:dyDescent="0.35">
      <c r="A299" t="s">
        <v>361</v>
      </c>
      <c r="B299" t="s">
        <v>10</v>
      </c>
      <c r="C299">
        <v>37</v>
      </c>
      <c r="D299" t="str">
        <f>IF(Table1[[#This Row],[Age]]&lt;=4, "Toddler (0-4)",
IF(Table1[[#This Row],[Age]]&lt;=12, "Child (5-12)",
IF(Table1[[#This Row],[Age]]&lt;=19, "Adolescent (13-19)",
IF(Table1[[#This Row],[Age]]&lt;=35, "Young adult (20-35)",
IF(Table1[[#This Row],[Age]]&lt;=59, "Adult (36-59)", "Elderly (60-90)")))))</f>
        <v>Adult (36-59)</v>
      </c>
      <c r="E299" t="s">
        <v>16</v>
      </c>
      <c r="F299">
        <v>10</v>
      </c>
      <c r="G299" t="str">
        <f>IF(Table1[[#This Row],[Admission_Days]]&lt;=5, "Immediate (1-5)",
IF(Table1[[#This Row],[Admission_Days]]&lt;=10, "Short-term (6-10)",
IF(Table1[[#This Row],[Admission_Days]]&lt;=15, "Medium-term (11-15)", "Long-term (16-20)")))</f>
        <v>Short-term (6-10)</v>
      </c>
      <c r="H299" t="s">
        <v>21</v>
      </c>
      <c r="I299">
        <v>5</v>
      </c>
      <c r="J299">
        <v>7</v>
      </c>
      <c r="K299" s="1">
        <v>400000</v>
      </c>
      <c r="L299" t="str">
        <f>IF(Table1[[#This Row],[Surgery_Cost_NGN]]&gt;0, "Yes", "No")</f>
        <v>Yes</v>
      </c>
      <c r="M299" s="1">
        <v>608791</v>
      </c>
      <c r="N299" t="str">
        <f>IF(Table1[[#This Row],[Surgery_Cost_NGN]]&gt;Table1[[#This Row],[Bill_Amount_NGN]], "Anomaly detected", "Valid")</f>
        <v>Valid</v>
      </c>
      <c r="O299" s="1">
        <f t="shared" si="4"/>
        <v>65.703993652994214</v>
      </c>
    </row>
    <row r="300" spans="1:15" x14ac:dyDescent="0.35">
      <c r="A300" t="s">
        <v>362</v>
      </c>
      <c r="B300" t="s">
        <v>10</v>
      </c>
      <c r="C300">
        <v>12</v>
      </c>
      <c r="D300" t="str">
        <f>IF(Table1[[#This Row],[Age]]&lt;=4, "Toddler (0-4)",
IF(Table1[[#This Row],[Age]]&lt;=12, "Child (5-12)",
IF(Table1[[#This Row],[Age]]&lt;=19, "Adolescent (13-19)",
IF(Table1[[#This Row],[Age]]&lt;=35, "Young adult (20-35)",
IF(Table1[[#This Row],[Age]]&lt;=59, "Adult (36-59)", "Elderly (60-90)")))))</f>
        <v>Child (5-12)</v>
      </c>
      <c r="E300" t="s">
        <v>16</v>
      </c>
      <c r="F300">
        <v>20</v>
      </c>
      <c r="G300" t="str">
        <f>IF(Table1[[#This Row],[Admission_Days]]&lt;=5, "Immediate (1-5)",
IF(Table1[[#This Row],[Admission_Days]]&lt;=10, "Short-term (6-10)",
IF(Table1[[#This Row],[Admission_Days]]&lt;=15, "Medium-term (11-15)", "Long-term (16-20)")))</f>
        <v>Long-term (16-20)</v>
      </c>
      <c r="H300" t="s">
        <v>21</v>
      </c>
      <c r="I300">
        <v>0</v>
      </c>
      <c r="J300">
        <v>5</v>
      </c>
      <c r="K300" s="1">
        <v>0</v>
      </c>
      <c r="L300" t="str">
        <f>IF(Table1[[#This Row],[Surgery_Cost_NGN]]&gt;0, "Yes", "No")</f>
        <v>No</v>
      </c>
      <c r="M300" s="1">
        <v>143415</v>
      </c>
      <c r="N300" t="str">
        <f>IF(Table1[[#This Row],[Surgery_Cost_NGN]]&gt;Table1[[#This Row],[Bill_Amount_NGN]], "Anomaly detected", "Valid")</f>
        <v>Valid</v>
      </c>
      <c r="O300" s="1">
        <f t="shared" si="4"/>
        <v>0</v>
      </c>
    </row>
    <row r="301" spans="1:15" x14ac:dyDescent="0.35">
      <c r="A301" t="s">
        <v>363</v>
      </c>
      <c r="B301" t="s">
        <v>13</v>
      </c>
      <c r="C301">
        <v>55</v>
      </c>
      <c r="D301" t="str">
        <f>IF(Table1[[#This Row],[Age]]&lt;=4, "Toddler (0-4)",
IF(Table1[[#This Row],[Age]]&lt;=12, "Child (5-12)",
IF(Table1[[#This Row],[Age]]&lt;=19, "Adolescent (13-19)",
IF(Table1[[#This Row],[Age]]&lt;=35, "Young adult (20-35)",
IF(Table1[[#This Row],[Age]]&lt;=59, "Adult (36-59)", "Elderly (60-90)")))))</f>
        <v>Adult (36-59)</v>
      </c>
      <c r="E301" t="s">
        <v>14</v>
      </c>
      <c r="F301">
        <v>9</v>
      </c>
      <c r="G301" t="str">
        <f>IF(Table1[[#This Row],[Admission_Days]]&lt;=5, "Immediate (1-5)",
IF(Table1[[#This Row],[Admission_Days]]&lt;=10, "Short-term (6-10)",
IF(Table1[[#This Row],[Admission_Days]]&lt;=15, "Medium-term (11-15)", "Long-term (16-20)")))</f>
        <v>Short-term (6-10)</v>
      </c>
      <c r="H301" t="s">
        <v>15</v>
      </c>
      <c r="I301">
        <v>5</v>
      </c>
      <c r="J301">
        <v>9</v>
      </c>
      <c r="K301" s="1">
        <v>160000</v>
      </c>
      <c r="L301" t="str">
        <f>IF(Table1[[#This Row],[Surgery_Cost_NGN]]&gt;0, "Yes", "No")</f>
        <v>Yes</v>
      </c>
      <c r="M301" s="1">
        <v>90000</v>
      </c>
      <c r="N301" t="str">
        <f>IF(Table1[[#This Row],[Surgery_Cost_NGN]]&gt;Table1[[#This Row],[Bill_Amount_NGN]], "Anomaly detected", "Valid")</f>
        <v>Anomaly detected</v>
      </c>
      <c r="O301" s="1">
        <f t="shared" si="4"/>
        <v>177.77777777777777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D8C0D-F193-401F-B7C5-5FE3618AA367}">
  <dimension ref="A2:I110"/>
  <sheetViews>
    <sheetView workbookViewId="0">
      <selection activeCell="P23" sqref="P23"/>
    </sheetView>
  </sheetViews>
  <sheetFormatPr defaultRowHeight="14.5" x14ac:dyDescent="0.35"/>
  <cols>
    <col min="1" max="1" width="17.08984375" bestFit="1" customWidth="1"/>
    <col min="2" max="2" width="22.81640625" bestFit="1" customWidth="1"/>
    <col min="3" max="3" width="15.6328125" bestFit="1" customWidth="1"/>
    <col min="4" max="4" width="12.453125" bestFit="1" customWidth="1"/>
    <col min="5" max="5" width="22.81640625" bestFit="1" customWidth="1"/>
    <col min="6" max="6" width="22" bestFit="1" customWidth="1"/>
    <col min="7" max="7" width="15.6328125" bestFit="1" customWidth="1"/>
    <col min="8" max="8" width="11.1796875" bestFit="1" customWidth="1"/>
    <col min="9" max="9" width="12.1796875" bestFit="1" customWidth="1"/>
    <col min="10" max="10" width="27.36328125" bestFit="1" customWidth="1"/>
    <col min="11" max="16" width="10.1796875" bestFit="1" customWidth="1"/>
    <col min="17" max="17" width="8.6328125" bestFit="1" customWidth="1"/>
    <col min="18" max="21" width="10.1796875" bestFit="1" customWidth="1"/>
    <col min="22" max="22" width="11.1796875" bestFit="1" customWidth="1"/>
    <col min="23" max="307" width="13.453125" bestFit="1" customWidth="1"/>
    <col min="308" max="308" width="10.36328125" bestFit="1" customWidth="1"/>
  </cols>
  <sheetData>
    <row r="2" spans="1:7" x14ac:dyDescent="0.35">
      <c r="A2" t="s">
        <v>41</v>
      </c>
      <c r="B2" t="s">
        <v>23</v>
      </c>
      <c r="D2" t="s">
        <v>26</v>
      </c>
      <c r="E2" t="s">
        <v>56</v>
      </c>
    </row>
    <row r="3" spans="1:7" x14ac:dyDescent="0.35">
      <c r="A3">
        <v>300</v>
      </c>
      <c r="B3" s="10">
        <v>58888000</v>
      </c>
      <c r="D3" s="10">
        <v>104993332</v>
      </c>
      <c r="E3" s="11">
        <f>B3/D3*100</f>
        <v>56.087371338972268</v>
      </c>
    </row>
    <row r="4" spans="1:7" x14ac:dyDescent="0.35">
      <c r="B4" s="4"/>
      <c r="D4" s="4"/>
    </row>
    <row r="5" spans="1:7" x14ac:dyDescent="0.35">
      <c r="A5" s="13" t="s">
        <v>47</v>
      </c>
      <c r="B5" s="13"/>
    </row>
    <row r="6" spans="1:7" x14ac:dyDescent="0.35">
      <c r="A6" s="5" t="s">
        <v>24</v>
      </c>
      <c r="B6" t="s">
        <v>26</v>
      </c>
    </row>
    <row r="7" spans="1:7" x14ac:dyDescent="0.35">
      <c r="A7" s="6" t="s">
        <v>13</v>
      </c>
      <c r="B7" s="9">
        <v>51175423</v>
      </c>
    </row>
    <row r="8" spans="1:7" x14ac:dyDescent="0.35">
      <c r="A8" s="6" t="s">
        <v>10</v>
      </c>
      <c r="B8" s="9">
        <v>53817909</v>
      </c>
    </row>
    <row r="9" spans="1:7" x14ac:dyDescent="0.35">
      <c r="A9" s="6" t="s">
        <v>25</v>
      </c>
      <c r="B9" s="9">
        <v>104993332</v>
      </c>
    </row>
    <row r="11" spans="1:7" x14ac:dyDescent="0.35">
      <c r="A11" s="13" t="s">
        <v>43</v>
      </c>
      <c r="B11" s="13"/>
      <c r="D11" s="13" t="s">
        <v>44</v>
      </c>
      <c r="E11" s="13"/>
    </row>
    <row r="12" spans="1:7" x14ac:dyDescent="0.35">
      <c r="A12" s="5" t="s">
        <v>24</v>
      </c>
      <c r="B12" t="s">
        <v>26</v>
      </c>
      <c r="D12" s="5" t="s">
        <v>24</v>
      </c>
      <c r="E12" t="s">
        <v>23</v>
      </c>
      <c r="F12" t="s">
        <v>26</v>
      </c>
      <c r="G12" t="s">
        <v>58</v>
      </c>
    </row>
    <row r="13" spans="1:7" x14ac:dyDescent="0.35">
      <c r="A13" s="6" t="s">
        <v>15</v>
      </c>
      <c r="B13" s="9">
        <v>17405974</v>
      </c>
      <c r="D13" s="6" t="s">
        <v>15</v>
      </c>
      <c r="E13" s="9">
        <v>9610000</v>
      </c>
      <c r="F13" s="9">
        <v>17405974</v>
      </c>
      <c r="G13" s="12">
        <v>42.341982100099649</v>
      </c>
    </row>
    <row r="14" spans="1:7" x14ac:dyDescent="0.35">
      <c r="A14" s="6" t="s">
        <v>21</v>
      </c>
      <c r="B14" s="9">
        <v>19140334</v>
      </c>
      <c r="D14" s="6" t="s">
        <v>21</v>
      </c>
      <c r="E14" s="9">
        <v>11011000</v>
      </c>
      <c r="F14" s="9">
        <v>19140334</v>
      </c>
      <c r="G14" s="12">
        <v>36.928234187136276</v>
      </c>
    </row>
    <row r="15" spans="1:7" x14ac:dyDescent="0.35">
      <c r="A15" s="6" t="s">
        <v>17</v>
      </c>
      <c r="B15" s="9">
        <v>22626091</v>
      </c>
      <c r="D15" s="6" t="s">
        <v>17</v>
      </c>
      <c r="E15" s="9">
        <v>12360000</v>
      </c>
      <c r="F15" s="9">
        <v>22626091</v>
      </c>
      <c r="G15" s="12">
        <v>39.563030416047866</v>
      </c>
    </row>
    <row r="16" spans="1:7" x14ac:dyDescent="0.35">
      <c r="A16" s="6" t="s">
        <v>12</v>
      </c>
      <c r="B16" s="9">
        <v>22745784</v>
      </c>
      <c r="D16" s="6" t="s">
        <v>18</v>
      </c>
      <c r="E16" s="9">
        <v>12720000</v>
      </c>
      <c r="F16" s="9">
        <v>23075149</v>
      </c>
      <c r="G16" s="12">
        <v>40.965202808513105</v>
      </c>
    </row>
    <row r="17" spans="1:9" x14ac:dyDescent="0.35">
      <c r="A17" s="6" t="s">
        <v>18</v>
      </c>
      <c r="B17" s="9">
        <v>23075149</v>
      </c>
      <c r="D17" s="6" t="s">
        <v>12</v>
      </c>
      <c r="E17" s="9">
        <v>13187000</v>
      </c>
      <c r="F17" s="9">
        <v>22745784</v>
      </c>
      <c r="G17" s="12">
        <v>44.751354406330002</v>
      </c>
    </row>
    <row r="18" spans="1:9" x14ac:dyDescent="0.35">
      <c r="A18" s="6" t="s">
        <v>25</v>
      </c>
      <c r="B18" s="9">
        <v>104993332</v>
      </c>
      <c r="D18" s="6" t="s">
        <v>25</v>
      </c>
      <c r="E18" s="9">
        <v>58888000</v>
      </c>
      <c r="F18" s="9">
        <v>104993332</v>
      </c>
      <c r="G18" s="9">
        <v>40.934806033709336</v>
      </c>
    </row>
    <row r="20" spans="1:9" x14ac:dyDescent="0.35">
      <c r="A20" s="13" t="s">
        <v>45</v>
      </c>
      <c r="B20" s="13"/>
      <c r="C20" s="8"/>
      <c r="D20" s="13" t="s">
        <v>46</v>
      </c>
      <c r="E20" s="13"/>
      <c r="G20" s="13" t="s">
        <v>54</v>
      </c>
      <c r="H20" s="13"/>
    </row>
    <row r="21" spans="1:9" x14ac:dyDescent="0.35">
      <c r="A21" s="5" t="s">
        <v>24</v>
      </c>
      <c r="B21" t="s">
        <v>26</v>
      </c>
      <c r="D21" s="5" t="s">
        <v>24</v>
      </c>
      <c r="E21" t="s">
        <v>23</v>
      </c>
      <c r="G21" s="5" t="s">
        <v>24</v>
      </c>
      <c r="H21" t="s">
        <v>41</v>
      </c>
    </row>
    <row r="22" spans="1:9" x14ac:dyDescent="0.35">
      <c r="A22" s="6" t="s">
        <v>19</v>
      </c>
      <c r="B22" s="9">
        <v>15447623</v>
      </c>
      <c r="D22" s="6" t="s">
        <v>20</v>
      </c>
      <c r="E22" s="9">
        <v>7850000</v>
      </c>
      <c r="G22" s="6" t="s">
        <v>19</v>
      </c>
      <c r="H22">
        <v>45</v>
      </c>
    </row>
    <row r="23" spans="1:9" x14ac:dyDescent="0.35">
      <c r="A23" s="6" t="s">
        <v>20</v>
      </c>
      <c r="B23" s="9">
        <v>15683165</v>
      </c>
      <c r="D23" s="6" t="s">
        <v>19</v>
      </c>
      <c r="E23" s="9">
        <v>8350000</v>
      </c>
      <c r="G23" s="6" t="s">
        <v>16</v>
      </c>
      <c r="H23">
        <v>45</v>
      </c>
    </row>
    <row r="24" spans="1:9" x14ac:dyDescent="0.35">
      <c r="A24" s="6" t="s">
        <v>22</v>
      </c>
      <c r="B24" s="9">
        <v>16072641</v>
      </c>
      <c r="D24" s="6" t="s">
        <v>22</v>
      </c>
      <c r="E24" s="9">
        <v>9070000</v>
      </c>
      <c r="G24" s="6" t="s">
        <v>20</v>
      </c>
      <c r="H24">
        <v>47</v>
      </c>
    </row>
    <row r="25" spans="1:9" x14ac:dyDescent="0.35">
      <c r="A25" s="6" t="s">
        <v>16</v>
      </c>
      <c r="B25" s="9">
        <v>17356984</v>
      </c>
      <c r="D25" s="6" t="s">
        <v>14</v>
      </c>
      <c r="E25" s="9">
        <v>10020000</v>
      </c>
      <c r="G25" s="6" t="s">
        <v>22</v>
      </c>
      <c r="H25">
        <v>47</v>
      </c>
    </row>
    <row r="26" spans="1:9" x14ac:dyDescent="0.35">
      <c r="A26" s="6" t="s">
        <v>14</v>
      </c>
      <c r="B26" s="9">
        <v>18414863</v>
      </c>
      <c r="D26" s="6" t="s">
        <v>16</v>
      </c>
      <c r="E26" s="9">
        <v>10598000</v>
      </c>
      <c r="G26" s="6" t="s">
        <v>14</v>
      </c>
      <c r="H26">
        <v>55</v>
      </c>
    </row>
    <row r="27" spans="1:9" x14ac:dyDescent="0.35">
      <c r="A27" s="6" t="s">
        <v>11</v>
      </c>
      <c r="B27" s="9">
        <v>22018056</v>
      </c>
      <c r="D27" s="6" t="s">
        <v>11</v>
      </c>
      <c r="E27" s="9">
        <v>13000000</v>
      </c>
      <c r="G27" s="6" t="s">
        <v>11</v>
      </c>
      <c r="H27">
        <v>61</v>
      </c>
    </row>
    <row r="28" spans="1:9" x14ac:dyDescent="0.35">
      <c r="A28" s="6" t="s">
        <v>25</v>
      </c>
      <c r="B28" s="9">
        <v>104993332</v>
      </c>
      <c r="D28" s="6" t="s">
        <v>25</v>
      </c>
      <c r="E28" s="9">
        <v>58888000</v>
      </c>
      <c r="G28" s="6" t="s">
        <v>25</v>
      </c>
      <c r="H28">
        <v>300</v>
      </c>
    </row>
    <row r="30" spans="1:9" x14ac:dyDescent="0.35">
      <c r="A30" s="13" t="s">
        <v>50</v>
      </c>
      <c r="B30" s="13"/>
      <c r="C30" s="13"/>
      <c r="D30" s="13"/>
      <c r="F30" s="13" t="s">
        <v>51</v>
      </c>
      <c r="G30" s="13"/>
      <c r="H30" s="13"/>
      <c r="I30" s="13"/>
    </row>
    <row r="31" spans="1:9" x14ac:dyDescent="0.35">
      <c r="A31" s="5" t="s">
        <v>41</v>
      </c>
      <c r="B31" s="5" t="s">
        <v>30</v>
      </c>
      <c r="F31" s="5" t="s">
        <v>26</v>
      </c>
      <c r="G31" s="5" t="s">
        <v>30</v>
      </c>
    </row>
    <row r="32" spans="1:9" x14ac:dyDescent="0.35">
      <c r="A32" s="5" t="s">
        <v>24</v>
      </c>
      <c r="B32" t="s">
        <v>13</v>
      </c>
      <c r="C32" t="s">
        <v>10</v>
      </c>
      <c r="D32" t="s">
        <v>25</v>
      </c>
      <c r="F32" s="5" t="s">
        <v>24</v>
      </c>
      <c r="G32" t="s">
        <v>13</v>
      </c>
      <c r="H32" t="s">
        <v>10</v>
      </c>
      <c r="I32" t="s">
        <v>25</v>
      </c>
    </row>
    <row r="33" spans="1:9" x14ac:dyDescent="0.35">
      <c r="A33" s="6" t="s">
        <v>31</v>
      </c>
      <c r="B33">
        <v>5</v>
      </c>
      <c r="C33">
        <v>11</v>
      </c>
      <c r="D33">
        <v>16</v>
      </c>
      <c r="F33" s="6" t="s">
        <v>31</v>
      </c>
      <c r="G33" s="9">
        <v>2104851</v>
      </c>
      <c r="H33" s="9">
        <v>4855787</v>
      </c>
      <c r="I33" s="4">
        <v>6960638</v>
      </c>
    </row>
    <row r="34" spans="1:9" x14ac:dyDescent="0.35">
      <c r="A34" s="6" t="s">
        <v>36</v>
      </c>
      <c r="B34">
        <v>15</v>
      </c>
      <c r="C34">
        <v>11</v>
      </c>
      <c r="D34">
        <v>26</v>
      </c>
      <c r="F34" s="6" t="s">
        <v>36</v>
      </c>
      <c r="G34" s="9">
        <v>5486979</v>
      </c>
      <c r="H34" s="9">
        <v>3555288</v>
      </c>
      <c r="I34" s="4">
        <v>9042267</v>
      </c>
    </row>
    <row r="35" spans="1:9" x14ac:dyDescent="0.35">
      <c r="A35" s="6" t="s">
        <v>32</v>
      </c>
      <c r="B35">
        <v>18</v>
      </c>
      <c r="C35">
        <v>12</v>
      </c>
      <c r="D35">
        <v>30</v>
      </c>
      <c r="F35" s="6" t="s">
        <v>32</v>
      </c>
      <c r="G35" s="9">
        <v>6722561</v>
      </c>
      <c r="H35" s="9">
        <v>3970422</v>
      </c>
      <c r="I35" s="4">
        <v>10692983</v>
      </c>
    </row>
    <row r="36" spans="1:9" x14ac:dyDescent="0.35">
      <c r="A36" s="6" t="s">
        <v>34</v>
      </c>
      <c r="B36">
        <v>29</v>
      </c>
      <c r="C36">
        <v>41</v>
      </c>
      <c r="D36">
        <v>70</v>
      </c>
      <c r="F36" s="6" t="s">
        <v>34</v>
      </c>
      <c r="G36" s="9">
        <v>8909877</v>
      </c>
      <c r="H36" s="9">
        <v>14224013</v>
      </c>
      <c r="I36" s="4">
        <v>23133890</v>
      </c>
    </row>
    <row r="37" spans="1:9" x14ac:dyDescent="0.35">
      <c r="A37" s="6" t="s">
        <v>33</v>
      </c>
      <c r="B37">
        <v>43</v>
      </c>
      <c r="C37">
        <v>42</v>
      </c>
      <c r="D37">
        <v>85</v>
      </c>
      <c r="F37" s="6" t="s">
        <v>33</v>
      </c>
      <c r="G37" s="9">
        <v>14326661</v>
      </c>
      <c r="H37" s="9">
        <v>15421216</v>
      </c>
      <c r="I37" s="4">
        <v>29747877</v>
      </c>
    </row>
    <row r="38" spans="1:9" x14ac:dyDescent="0.35">
      <c r="A38" s="6" t="s">
        <v>35</v>
      </c>
      <c r="B38">
        <v>39</v>
      </c>
      <c r="C38">
        <v>34</v>
      </c>
      <c r="D38">
        <v>73</v>
      </c>
      <c r="F38" s="6" t="s">
        <v>35</v>
      </c>
      <c r="G38" s="9">
        <v>13624494</v>
      </c>
      <c r="H38" s="9">
        <v>11791183</v>
      </c>
      <c r="I38" s="4">
        <v>25415677</v>
      </c>
    </row>
    <row r="39" spans="1:9" x14ac:dyDescent="0.35">
      <c r="A39" s="6" t="s">
        <v>25</v>
      </c>
      <c r="B39">
        <v>149</v>
      </c>
      <c r="C39">
        <v>151</v>
      </c>
      <c r="D39">
        <v>300</v>
      </c>
      <c r="F39" s="6" t="s">
        <v>25</v>
      </c>
      <c r="G39" s="4">
        <v>51175423</v>
      </c>
      <c r="H39" s="4">
        <v>53817909</v>
      </c>
      <c r="I39" s="4">
        <v>104993332</v>
      </c>
    </row>
    <row r="41" spans="1:9" x14ac:dyDescent="0.35">
      <c r="A41" s="13" t="s">
        <v>52</v>
      </c>
      <c r="B41" s="13"/>
      <c r="C41" s="13"/>
      <c r="D41" s="13"/>
      <c r="E41" s="13"/>
      <c r="F41" s="13"/>
    </row>
    <row r="42" spans="1:9" x14ac:dyDescent="0.35">
      <c r="A42" s="5" t="s">
        <v>41</v>
      </c>
      <c r="B42" s="5" t="s">
        <v>30</v>
      </c>
    </row>
    <row r="43" spans="1:9" x14ac:dyDescent="0.35">
      <c r="A43" s="5" t="s">
        <v>24</v>
      </c>
      <c r="B43" t="s">
        <v>40</v>
      </c>
      <c r="C43" t="s">
        <v>37</v>
      </c>
      <c r="D43" t="s">
        <v>38</v>
      </c>
      <c r="E43" t="s">
        <v>39</v>
      </c>
      <c r="F43" t="s">
        <v>25</v>
      </c>
    </row>
    <row r="44" spans="1:9" x14ac:dyDescent="0.35">
      <c r="A44" s="6" t="s">
        <v>31</v>
      </c>
      <c r="B44">
        <v>3</v>
      </c>
      <c r="C44">
        <v>3</v>
      </c>
      <c r="D44">
        <v>5</v>
      </c>
      <c r="E44">
        <v>5</v>
      </c>
      <c r="F44">
        <v>16</v>
      </c>
    </row>
    <row r="45" spans="1:9" x14ac:dyDescent="0.35">
      <c r="A45" s="6" t="s">
        <v>36</v>
      </c>
      <c r="B45">
        <v>7</v>
      </c>
      <c r="C45">
        <v>5</v>
      </c>
      <c r="D45">
        <v>7</v>
      </c>
      <c r="E45">
        <v>7</v>
      </c>
      <c r="F45">
        <v>26</v>
      </c>
    </row>
    <row r="46" spans="1:9" x14ac:dyDescent="0.35">
      <c r="A46" s="6" t="s">
        <v>32</v>
      </c>
      <c r="B46">
        <v>9</v>
      </c>
      <c r="C46">
        <v>9</v>
      </c>
      <c r="D46">
        <v>8</v>
      </c>
      <c r="E46">
        <v>4</v>
      </c>
      <c r="F46">
        <v>30</v>
      </c>
    </row>
    <row r="47" spans="1:9" x14ac:dyDescent="0.35">
      <c r="A47" s="6" t="s">
        <v>34</v>
      </c>
      <c r="B47">
        <v>15</v>
      </c>
      <c r="C47">
        <v>12</v>
      </c>
      <c r="D47">
        <v>20</v>
      </c>
      <c r="E47">
        <v>23</v>
      </c>
      <c r="F47">
        <v>70</v>
      </c>
    </row>
    <row r="48" spans="1:9" x14ac:dyDescent="0.35">
      <c r="A48" s="6" t="s">
        <v>33</v>
      </c>
      <c r="B48">
        <v>24</v>
      </c>
      <c r="C48">
        <v>10</v>
      </c>
      <c r="D48">
        <v>24</v>
      </c>
      <c r="E48">
        <v>27</v>
      </c>
      <c r="F48">
        <v>85</v>
      </c>
    </row>
    <row r="49" spans="1:7" x14ac:dyDescent="0.35">
      <c r="A49" s="6" t="s">
        <v>35</v>
      </c>
      <c r="B49">
        <v>26</v>
      </c>
      <c r="C49">
        <v>16</v>
      </c>
      <c r="D49">
        <v>19</v>
      </c>
      <c r="E49">
        <v>12</v>
      </c>
      <c r="F49">
        <v>73</v>
      </c>
    </row>
    <row r="50" spans="1:7" x14ac:dyDescent="0.35">
      <c r="A50" s="6" t="s">
        <v>25</v>
      </c>
      <c r="B50">
        <v>84</v>
      </c>
      <c r="C50">
        <v>55</v>
      </c>
      <c r="D50">
        <v>83</v>
      </c>
      <c r="E50">
        <v>78</v>
      </c>
      <c r="F50">
        <v>300</v>
      </c>
    </row>
    <row r="51" spans="1:7" x14ac:dyDescent="0.35">
      <c r="A51" s="6"/>
    </row>
    <row r="52" spans="1:7" x14ac:dyDescent="0.35">
      <c r="A52" s="6"/>
    </row>
    <row r="53" spans="1:7" x14ac:dyDescent="0.35">
      <c r="A53" s="6"/>
    </row>
    <row r="54" spans="1:7" x14ac:dyDescent="0.35">
      <c r="A54" s="5" t="s">
        <v>29</v>
      </c>
      <c r="B54" t="s">
        <v>63</v>
      </c>
    </row>
    <row r="55" spans="1:7" x14ac:dyDescent="0.35">
      <c r="A55" s="13" t="s">
        <v>364</v>
      </c>
      <c r="B55" s="13"/>
      <c r="C55" s="13"/>
      <c r="D55" s="13"/>
      <c r="E55" s="13"/>
      <c r="F55" s="13"/>
    </row>
    <row r="56" spans="1:7" x14ac:dyDescent="0.35">
      <c r="A56" s="5" t="s">
        <v>26</v>
      </c>
      <c r="B56" s="5" t="s">
        <v>5</v>
      </c>
    </row>
    <row r="57" spans="1:7" x14ac:dyDescent="0.35">
      <c r="A57" s="5" t="s">
        <v>28</v>
      </c>
      <c r="B57" t="s">
        <v>18</v>
      </c>
      <c r="C57" t="s">
        <v>12</v>
      </c>
      <c r="D57" t="s">
        <v>17</v>
      </c>
      <c r="E57" t="s">
        <v>21</v>
      </c>
      <c r="F57" t="s">
        <v>15</v>
      </c>
      <c r="G57" t="s">
        <v>25</v>
      </c>
    </row>
    <row r="58" spans="1:7" x14ac:dyDescent="0.35">
      <c r="A58" t="s">
        <v>31</v>
      </c>
      <c r="B58" s="9">
        <v>2277867</v>
      </c>
      <c r="C58" s="9">
        <v>1206310</v>
      </c>
      <c r="D58" s="9">
        <v>2081225</v>
      </c>
      <c r="E58" s="9">
        <v>1395236</v>
      </c>
      <c r="F58" s="9"/>
      <c r="G58" s="9">
        <v>6960638</v>
      </c>
    </row>
    <row r="59" spans="1:7" x14ac:dyDescent="0.35">
      <c r="A59" t="s">
        <v>36</v>
      </c>
      <c r="B59" s="9">
        <v>2401784</v>
      </c>
      <c r="C59" s="9">
        <v>1467615</v>
      </c>
      <c r="D59" s="9">
        <v>2722927</v>
      </c>
      <c r="E59" s="9">
        <v>1568109</v>
      </c>
      <c r="F59" s="9">
        <v>881832</v>
      </c>
      <c r="G59" s="9">
        <v>9042267</v>
      </c>
    </row>
    <row r="60" spans="1:7" x14ac:dyDescent="0.35">
      <c r="A60" t="s">
        <v>32</v>
      </c>
      <c r="B60" s="9">
        <v>1662903</v>
      </c>
      <c r="C60" s="9">
        <v>1929415</v>
      </c>
      <c r="D60" s="9">
        <v>2749343</v>
      </c>
      <c r="E60" s="9">
        <v>2301468</v>
      </c>
      <c r="F60" s="9">
        <v>2049854</v>
      </c>
      <c r="G60" s="9">
        <v>10692983</v>
      </c>
    </row>
    <row r="61" spans="1:7" x14ac:dyDescent="0.35">
      <c r="A61" t="s">
        <v>34</v>
      </c>
      <c r="B61" s="9">
        <v>5951658</v>
      </c>
      <c r="C61" s="9">
        <v>3163398</v>
      </c>
      <c r="D61" s="9">
        <v>2141877</v>
      </c>
      <c r="E61" s="9">
        <v>5813767</v>
      </c>
      <c r="F61" s="9">
        <v>6063190</v>
      </c>
      <c r="G61" s="9">
        <v>23133890</v>
      </c>
    </row>
    <row r="62" spans="1:7" x14ac:dyDescent="0.35">
      <c r="A62" t="s">
        <v>33</v>
      </c>
      <c r="B62" s="9">
        <v>5326590</v>
      </c>
      <c r="C62" s="9">
        <v>8358592</v>
      </c>
      <c r="D62" s="9">
        <v>4979390</v>
      </c>
      <c r="E62" s="9">
        <v>5014864</v>
      </c>
      <c r="F62" s="9">
        <v>6068441</v>
      </c>
      <c r="G62" s="9">
        <v>29747877</v>
      </c>
    </row>
    <row r="63" spans="1:7" x14ac:dyDescent="0.35">
      <c r="A63" t="s">
        <v>35</v>
      </c>
      <c r="B63" s="9">
        <v>5454347</v>
      </c>
      <c r="C63" s="9">
        <v>6620454</v>
      </c>
      <c r="D63" s="9">
        <v>7951329</v>
      </c>
      <c r="E63" s="9">
        <v>3046890</v>
      </c>
      <c r="F63" s="9">
        <v>2342657</v>
      </c>
      <c r="G63" s="9">
        <v>25415677</v>
      </c>
    </row>
    <row r="64" spans="1:7" x14ac:dyDescent="0.35">
      <c r="A64" t="s">
        <v>25</v>
      </c>
      <c r="B64" s="9">
        <v>23075149</v>
      </c>
      <c r="C64" s="9">
        <v>22745784</v>
      </c>
      <c r="D64" s="9">
        <v>22626091</v>
      </c>
      <c r="E64" s="9">
        <v>19140334</v>
      </c>
      <c r="F64" s="9">
        <v>17405974</v>
      </c>
      <c r="G64" s="9">
        <v>104993332</v>
      </c>
    </row>
    <row r="65" spans="1:8" x14ac:dyDescent="0.35">
      <c r="A65" s="6"/>
      <c r="B65" s="9"/>
      <c r="C65" s="9"/>
      <c r="D65" s="9"/>
      <c r="E65" s="9"/>
      <c r="F65" s="9"/>
      <c r="G65" s="9"/>
    </row>
    <row r="66" spans="1:8" x14ac:dyDescent="0.35">
      <c r="A66" s="6"/>
      <c r="B66" s="9"/>
      <c r="C66" s="9"/>
      <c r="D66" s="9"/>
      <c r="E66" s="9"/>
      <c r="F66" s="9"/>
      <c r="G66" s="9"/>
    </row>
    <row r="67" spans="1:8" x14ac:dyDescent="0.35">
      <c r="A67" s="6"/>
    </row>
    <row r="69" spans="1:8" x14ac:dyDescent="0.35">
      <c r="A69" s="13" t="s">
        <v>48</v>
      </c>
      <c r="B69" s="13"/>
      <c r="C69" s="8"/>
      <c r="D69" s="8"/>
      <c r="E69" s="8"/>
      <c r="F69" s="8"/>
    </row>
    <row r="70" spans="1:8" x14ac:dyDescent="0.35">
      <c r="A70" s="5" t="s">
        <v>24</v>
      </c>
      <c r="B70" t="s">
        <v>26</v>
      </c>
    </row>
    <row r="71" spans="1:8" x14ac:dyDescent="0.35">
      <c r="A71" s="6" t="s">
        <v>40</v>
      </c>
      <c r="B71" s="9">
        <v>23224011</v>
      </c>
    </row>
    <row r="72" spans="1:8" x14ac:dyDescent="0.35">
      <c r="A72" s="6" t="s">
        <v>39</v>
      </c>
      <c r="B72" s="9">
        <v>28252265</v>
      </c>
    </row>
    <row r="73" spans="1:8" x14ac:dyDescent="0.35">
      <c r="A73" s="6" t="s">
        <v>38</v>
      </c>
      <c r="B73" s="9">
        <v>31146006</v>
      </c>
    </row>
    <row r="74" spans="1:8" x14ac:dyDescent="0.35">
      <c r="A74" s="6" t="s">
        <v>37</v>
      </c>
      <c r="B74" s="9">
        <v>22371050</v>
      </c>
    </row>
    <row r="75" spans="1:8" x14ac:dyDescent="0.35">
      <c r="A75" s="6" t="s">
        <v>25</v>
      </c>
      <c r="B75" s="4">
        <v>104993332</v>
      </c>
    </row>
    <row r="78" spans="1:8" x14ac:dyDescent="0.35">
      <c r="A78" s="13" t="s">
        <v>49</v>
      </c>
      <c r="B78" s="13"/>
    </row>
    <row r="79" spans="1:8" x14ac:dyDescent="0.35">
      <c r="A79" s="5" t="s">
        <v>26</v>
      </c>
      <c r="B79" s="5" t="s">
        <v>30</v>
      </c>
    </row>
    <row r="80" spans="1:8" x14ac:dyDescent="0.35">
      <c r="A80" s="5" t="s">
        <v>24</v>
      </c>
      <c r="B80" t="s">
        <v>20</v>
      </c>
      <c r="C80" t="s">
        <v>19</v>
      </c>
      <c r="D80" t="s">
        <v>14</v>
      </c>
      <c r="E80" t="s">
        <v>16</v>
      </c>
      <c r="F80" t="s">
        <v>22</v>
      </c>
      <c r="G80" t="s">
        <v>11</v>
      </c>
      <c r="H80" t="s">
        <v>25</v>
      </c>
    </row>
    <row r="81" spans="1:8" x14ac:dyDescent="0.35">
      <c r="A81" s="6" t="s">
        <v>18</v>
      </c>
      <c r="B81" s="4">
        <v>4183156</v>
      </c>
      <c r="C81" s="4">
        <v>3317058</v>
      </c>
      <c r="D81" s="4">
        <v>3671671</v>
      </c>
      <c r="E81" s="4">
        <v>2951470</v>
      </c>
      <c r="F81" s="4">
        <v>4605559</v>
      </c>
      <c r="G81" s="4">
        <v>4346235</v>
      </c>
      <c r="H81" s="4">
        <v>23075149</v>
      </c>
    </row>
    <row r="82" spans="1:8" x14ac:dyDescent="0.35">
      <c r="A82" s="6" t="s">
        <v>15</v>
      </c>
      <c r="B82" s="4">
        <v>2831045</v>
      </c>
      <c r="C82" s="4">
        <v>2320851</v>
      </c>
      <c r="D82" s="4">
        <v>3259114</v>
      </c>
      <c r="E82" s="4">
        <v>3373296</v>
      </c>
      <c r="F82" s="4">
        <v>1514603</v>
      </c>
      <c r="G82" s="4">
        <v>4107065</v>
      </c>
      <c r="H82" s="4">
        <v>17405974</v>
      </c>
    </row>
    <row r="83" spans="1:8" x14ac:dyDescent="0.35">
      <c r="A83" s="6" t="s">
        <v>12</v>
      </c>
      <c r="B83" s="4">
        <v>1933920</v>
      </c>
      <c r="C83" s="4">
        <v>4820643</v>
      </c>
      <c r="D83" s="4">
        <v>3106521</v>
      </c>
      <c r="E83" s="4">
        <v>3158015</v>
      </c>
      <c r="F83" s="4">
        <v>5227495</v>
      </c>
      <c r="G83" s="4">
        <v>4499190</v>
      </c>
      <c r="H83" s="4">
        <v>22745784</v>
      </c>
    </row>
    <row r="84" spans="1:8" x14ac:dyDescent="0.35">
      <c r="A84" s="6" t="s">
        <v>17</v>
      </c>
      <c r="B84" s="4">
        <v>3074586</v>
      </c>
      <c r="C84" s="4">
        <v>3548772</v>
      </c>
      <c r="D84" s="4">
        <v>3605478</v>
      </c>
      <c r="E84" s="4">
        <v>4296479</v>
      </c>
      <c r="F84" s="4">
        <v>2101435</v>
      </c>
      <c r="G84" s="4">
        <v>5999341</v>
      </c>
      <c r="H84" s="4">
        <v>22626091</v>
      </c>
    </row>
    <row r="85" spans="1:8" x14ac:dyDescent="0.35">
      <c r="A85" s="6" t="s">
        <v>21</v>
      </c>
      <c r="B85" s="4">
        <v>3660458</v>
      </c>
      <c r="C85" s="4">
        <v>1440299</v>
      </c>
      <c r="D85" s="4">
        <v>4772079</v>
      </c>
      <c r="E85" s="4">
        <v>3577724</v>
      </c>
      <c r="F85" s="4">
        <v>2623549</v>
      </c>
      <c r="G85" s="4">
        <v>3066225</v>
      </c>
      <c r="H85" s="4">
        <v>19140334</v>
      </c>
    </row>
    <row r="86" spans="1:8" x14ac:dyDescent="0.35">
      <c r="A86" s="6" t="s">
        <v>25</v>
      </c>
      <c r="B86" s="4">
        <v>15683165</v>
      </c>
      <c r="C86" s="4">
        <v>15447623</v>
      </c>
      <c r="D86" s="4">
        <v>18414863</v>
      </c>
      <c r="E86" s="4">
        <v>17356984</v>
      </c>
      <c r="F86" s="4">
        <v>16072641</v>
      </c>
      <c r="G86" s="4">
        <v>22018056</v>
      </c>
      <c r="H86" s="4">
        <v>104993332</v>
      </c>
    </row>
    <row r="89" spans="1:8" x14ac:dyDescent="0.35">
      <c r="A89" s="13" t="s">
        <v>60</v>
      </c>
      <c r="B89" s="13"/>
    </row>
    <row r="90" spans="1:8" x14ac:dyDescent="0.35">
      <c r="A90" s="5" t="s">
        <v>24</v>
      </c>
      <c r="B90" t="s">
        <v>59</v>
      </c>
    </row>
    <row r="91" spans="1:8" x14ac:dyDescent="0.35">
      <c r="A91" s="6" t="s">
        <v>62</v>
      </c>
      <c r="B91">
        <v>286</v>
      </c>
    </row>
    <row r="92" spans="1:8" x14ac:dyDescent="0.35">
      <c r="A92" s="6" t="s">
        <v>57</v>
      </c>
      <c r="B92">
        <v>461</v>
      </c>
    </row>
    <row r="93" spans="1:8" x14ac:dyDescent="0.35">
      <c r="A93" s="6" t="s">
        <v>25</v>
      </c>
      <c r="B93">
        <v>747</v>
      </c>
    </row>
    <row r="96" spans="1:8" x14ac:dyDescent="0.35">
      <c r="A96" s="13" t="s">
        <v>27</v>
      </c>
      <c r="B96" s="13"/>
      <c r="C96" s="8"/>
      <c r="D96" s="8"/>
    </row>
    <row r="97" spans="1:6" x14ac:dyDescent="0.35">
      <c r="A97" s="5" t="s">
        <v>29</v>
      </c>
      <c r="B97" t="s">
        <v>61</v>
      </c>
    </row>
    <row r="98" spans="1:6" x14ac:dyDescent="0.35">
      <c r="A98" t="s">
        <v>62</v>
      </c>
      <c r="B98">
        <v>638</v>
      </c>
    </row>
    <row r="99" spans="1:6" x14ac:dyDescent="0.35">
      <c r="A99" t="s">
        <v>57</v>
      </c>
      <c r="B99">
        <v>862</v>
      </c>
    </row>
    <row r="102" spans="1:6" x14ac:dyDescent="0.35">
      <c r="A102" s="13" t="s">
        <v>53</v>
      </c>
      <c r="B102" s="13"/>
      <c r="C102" s="13"/>
      <c r="D102" s="13"/>
      <c r="E102" s="13"/>
      <c r="F102" s="13"/>
    </row>
    <row r="103" spans="1:6" x14ac:dyDescent="0.35">
      <c r="A103" s="5" t="s">
        <v>24</v>
      </c>
      <c r="B103" t="s">
        <v>26</v>
      </c>
    </row>
    <row r="104" spans="1:6" x14ac:dyDescent="0.35">
      <c r="A104" s="6" t="s">
        <v>31</v>
      </c>
      <c r="B104" s="9">
        <v>6960638</v>
      </c>
    </row>
    <row r="105" spans="1:6" x14ac:dyDescent="0.35">
      <c r="A105" s="6" t="s">
        <v>36</v>
      </c>
      <c r="B105" s="9">
        <v>9042267</v>
      </c>
    </row>
    <row r="106" spans="1:6" x14ac:dyDescent="0.35">
      <c r="A106" s="6" t="s">
        <v>32</v>
      </c>
      <c r="B106" s="9">
        <v>10692983</v>
      </c>
    </row>
    <row r="107" spans="1:6" x14ac:dyDescent="0.35">
      <c r="A107" s="6" t="s">
        <v>34</v>
      </c>
      <c r="B107" s="9">
        <v>23133890</v>
      </c>
    </row>
    <row r="108" spans="1:6" x14ac:dyDescent="0.35">
      <c r="A108" s="6" t="s">
        <v>33</v>
      </c>
      <c r="B108" s="9">
        <v>29747877</v>
      </c>
    </row>
    <row r="109" spans="1:6" x14ac:dyDescent="0.35">
      <c r="A109" s="6" t="s">
        <v>35</v>
      </c>
      <c r="B109" s="9">
        <v>25415677</v>
      </c>
    </row>
    <row r="110" spans="1:6" x14ac:dyDescent="0.35">
      <c r="A110" s="6" t="s">
        <v>25</v>
      </c>
      <c r="B110" s="9">
        <v>104993332</v>
      </c>
    </row>
  </sheetData>
  <mergeCells count="15">
    <mergeCell ref="A102:F102"/>
    <mergeCell ref="A89:B89"/>
    <mergeCell ref="A5:B5"/>
    <mergeCell ref="A78:B78"/>
    <mergeCell ref="F30:I30"/>
    <mergeCell ref="A55:F55"/>
    <mergeCell ref="G20:H20"/>
    <mergeCell ref="A11:B11"/>
    <mergeCell ref="D11:E11"/>
    <mergeCell ref="D20:E20"/>
    <mergeCell ref="A20:B20"/>
    <mergeCell ref="A30:D30"/>
    <mergeCell ref="A41:F41"/>
    <mergeCell ref="A69:B69"/>
    <mergeCell ref="A96:B96"/>
  </mergeCells>
  <conditionalFormatting pivot="1" sqref="B44:B49">
    <cfRule type="colorScale" priority="63">
      <colorScale>
        <cfvo type="min"/>
        <cfvo type="percentile" val="50"/>
        <cfvo type="max"/>
        <color rgb="FFF8696B"/>
        <color rgb="FFFCFCFF"/>
        <color rgb="FF5A8AC6"/>
      </colorScale>
    </cfRule>
  </conditionalFormatting>
  <conditionalFormatting pivot="1" sqref="C44:C49">
    <cfRule type="colorScale" priority="62">
      <colorScale>
        <cfvo type="min"/>
        <cfvo type="percentile" val="50"/>
        <cfvo type="max"/>
        <color rgb="FFF8696B"/>
        <color rgb="FFFCFCFF"/>
        <color rgb="FF5A8AC6"/>
      </colorScale>
    </cfRule>
  </conditionalFormatting>
  <conditionalFormatting pivot="1" sqref="D44:D49">
    <cfRule type="colorScale" priority="61">
      <colorScale>
        <cfvo type="min"/>
        <cfvo type="percentile" val="50"/>
        <cfvo type="max"/>
        <color rgb="FFF8696B"/>
        <color rgb="FFFCFCFF"/>
        <color rgb="FF5A8AC6"/>
      </colorScale>
    </cfRule>
  </conditionalFormatting>
  <conditionalFormatting pivot="1" sqref="E44:E49">
    <cfRule type="colorScale" priority="60">
      <colorScale>
        <cfvo type="min"/>
        <cfvo type="percentile" val="50"/>
        <cfvo type="max"/>
        <color rgb="FFF8696B"/>
        <color rgb="FFFCFCFF"/>
        <color rgb="FF5A8AC6"/>
      </colorScale>
    </cfRule>
  </conditionalFormatting>
  <conditionalFormatting pivot="1" sqref="B81:B85">
    <cfRule type="colorScale" priority="53">
      <colorScale>
        <cfvo type="min"/>
        <cfvo type="percentile" val="50"/>
        <cfvo type="max"/>
        <color rgb="FFF8696B"/>
        <color rgb="FFFCFCFF"/>
        <color rgb="FF5A8AC6"/>
      </colorScale>
    </cfRule>
  </conditionalFormatting>
  <conditionalFormatting pivot="1" sqref="C81:C85">
    <cfRule type="colorScale" priority="52">
      <colorScale>
        <cfvo type="min"/>
        <cfvo type="percentile" val="50"/>
        <cfvo type="max"/>
        <color rgb="FFF8696B"/>
        <color rgb="FFFCFCFF"/>
        <color rgb="FF5A8AC6"/>
      </colorScale>
    </cfRule>
  </conditionalFormatting>
  <conditionalFormatting pivot="1" sqref="D81:D85">
    <cfRule type="colorScale" priority="51">
      <colorScale>
        <cfvo type="min"/>
        <cfvo type="percentile" val="50"/>
        <cfvo type="max"/>
        <color rgb="FFF8696B"/>
        <color rgb="FFFCFCFF"/>
        <color rgb="FF5A8AC6"/>
      </colorScale>
    </cfRule>
  </conditionalFormatting>
  <conditionalFormatting pivot="1" sqref="E81:E85">
    <cfRule type="colorScale" priority="50">
      <colorScale>
        <cfvo type="min"/>
        <cfvo type="percentile" val="50"/>
        <cfvo type="max"/>
        <color rgb="FFF8696B"/>
        <color rgb="FFFCFCFF"/>
        <color rgb="FF5A8AC6"/>
      </colorScale>
    </cfRule>
  </conditionalFormatting>
  <conditionalFormatting pivot="1" sqref="F81:F85">
    <cfRule type="colorScale" priority="49">
      <colorScale>
        <cfvo type="min"/>
        <cfvo type="percentile" val="50"/>
        <cfvo type="max"/>
        <color rgb="FFF8696B"/>
        <color rgb="FFFCFCFF"/>
        <color rgb="FF5A8AC6"/>
      </colorScale>
    </cfRule>
  </conditionalFormatting>
  <conditionalFormatting pivot="1" sqref="G81:G85">
    <cfRule type="colorScale" priority="48">
      <colorScale>
        <cfvo type="min"/>
        <cfvo type="percentile" val="50"/>
        <cfvo type="max"/>
        <color rgb="FFF8696B"/>
        <color rgb="FFFCFCFF"/>
        <color rgb="FF5A8AC6"/>
      </colorScale>
    </cfRule>
  </conditionalFormatting>
  <conditionalFormatting pivot="1" sqref="B33:B38">
    <cfRule type="colorScale" priority="47">
      <colorScale>
        <cfvo type="min"/>
        <cfvo type="percentile" val="50"/>
        <cfvo type="max"/>
        <color rgb="FFF8696B"/>
        <color rgb="FFFCFCFF"/>
        <color rgb="FF5A8AC6"/>
      </colorScale>
    </cfRule>
  </conditionalFormatting>
  <conditionalFormatting pivot="1" sqref="C33:C38">
    <cfRule type="colorScale" priority="46">
      <colorScale>
        <cfvo type="min"/>
        <cfvo type="percentile" val="50"/>
        <cfvo type="max"/>
        <color rgb="FFF8696B"/>
        <color rgb="FFFCFCFF"/>
        <color rgb="FF5A8AC6"/>
      </colorScale>
    </cfRule>
  </conditionalFormatting>
  <conditionalFormatting pivot="1" sqref="B71:B74">
    <cfRule type="colorScale" priority="32">
      <colorScale>
        <cfvo type="min"/>
        <cfvo type="percentile" val="50"/>
        <cfvo type="max"/>
        <color rgb="FFF8696B"/>
        <color rgb="FFFCFCFF"/>
        <color rgb="FF5A8AC6"/>
      </colorScale>
    </cfRule>
  </conditionalFormatting>
  <conditionalFormatting pivot="1" sqref="G33:G38">
    <cfRule type="colorScale" priority="31">
      <colorScale>
        <cfvo type="min"/>
        <cfvo type="percentile" val="50"/>
        <cfvo type="max"/>
        <color rgb="FFF8696B"/>
        <color rgb="FFFCFCFF"/>
        <color rgb="FF5A8AC6"/>
      </colorScale>
    </cfRule>
  </conditionalFormatting>
  <conditionalFormatting pivot="1" sqref="H33:H38">
    <cfRule type="colorScale" priority="30">
      <colorScale>
        <cfvo type="min"/>
        <cfvo type="percentile" val="50"/>
        <cfvo type="max"/>
        <color rgb="FFF8696B"/>
        <color rgb="FFFCFCFF"/>
        <color rgb="FF5A8AC6"/>
      </colorScale>
    </cfRule>
  </conditionalFormatting>
  <conditionalFormatting sqref="D57">
    <cfRule type="colorScale" priority="16">
      <colorScale>
        <cfvo type="min"/>
        <cfvo type="percentile" val="50"/>
        <cfvo type="max"/>
        <color rgb="FFF8696B"/>
        <color rgb="FFFCFCFF"/>
        <color rgb="FF5A8AC6"/>
      </colorScale>
    </cfRule>
  </conditionalFormatting>
  <conditionalFormatting sqref="D104">
    <cfRule type="colorScale" priority="7">
      <colorScale>
        <cfvo type="min"/>
        <cfvo type="percentile" val="50"/>
        <cfvo type="max"/>
        <color rgb="FFF8696B"/>
        <color rgb="FFFCFCFF"/>
        <color rgb="FF5A8AC6"/>
      </colorScale>
    </cfRule>
  </conditionalFormatting>
  <conditionalFormatting pivot="1" sqref="B58:B63">
    <cfRule type="colorScale" priority="6">
      <colorScale>
        <cfvo type="min"/>
        <cfvo type="percentile" val="50"/>
        <cfvo type="max"/>
        <color rgb="FFF8696B"/>
        <color rgb="FFFCFCFF"/>
        <color rgb="FF5A8AC6"/>
      </colorScale>
    </cfRule>
  </conditionalFormatting>
  <conditionalFormatting pivot="1" sqref="C58:C63">
    <cfRule type="colorScale" priority="5">
      <colorScale>
        <cfvo type="min"/>
        <cfvo type="percentile" val="50"/>
        <cfvo type="max"/>
        <color rgb="FFF8696B"/>
        <color rgb="FFFCFCFF"/>
        <color rgb="FF5A8AC6"/>
      </colorScale>
    </cfRule>
  </conditionalFormatting>
  <conditionalFormatting pivot="1" sqref="D58:D63">
    <cfRule type="colorScale" priority="4">
      <colorScale>
        <cfvo type="min"/>
        <cfvo type="percentile" val="50"/>
        <cfvo type="max"/>
        <color rgb="FFF8696B"/>
        <color rgb="FFFCFCFF"/>
        <color rgb="FF5A8AC6"/>
      </colorScale>
    </cfRule>
  </conditionalFormatting>
  <conditionalFormatting pivot="1" sqref="E58:E63">
    <cfRule type="colorScale" priority="3">
      <colorScale>
        <cfvo type="min"/>
        <cfvo type="percentile" val="50"/>
        <cfvo type="max"/>
        <color rgb="FFF8696B"/>
        <color rgb="FFFCFCFF"/>
        <color rgb="FF5A8AC6"/>
      </colorScale>
    </cfRule>
  </conditionalFormatting>
  <conditionalFormatting pivot="1" sqref="F58:F63">
    <cfRule type="colorScale" priority="2">
      <colorScale>
        <cfvo type="min"/>
        <cfvo type="percentile" val="50"/>
        <cfvo type="max"/>
        <color rgb="FFF8696B"/>
        <color rgb="FFFCFCFF"/>
        <color rgb="FF5A8AC6"/>
      </colorScale>
    </cfRule>
  </conditionalFormatting>
  <conditionalFormatting pivot="1" sqref="G58:G63">
    <cfRule type="colorScale" priority="1">
      <colorScale>
        <cfvo type="min"/>
        <cfvo type="percentile" val="50"/>
        <cfvo type="max"/>
        <color rgb="FFF8696B"/>
        <color rgb="FFFCFCFF"/>
        <color rgb="FF5A8AC6"/>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09E75-E92C-42F5-8FB3-7224F0776C43}">
  <dimension ref="A1"/>
  <sheetViews>
    <sheetView showGridLines="0" tabSelected="1" zoomScale="60" zoomScaleNormal="60" workbookViewId="0">
      <selection activeCell="U11" sqref="U11"/>
    </sheetView>
  </sheetViews>
  <sheetFormatPr defaultRowHeight="14.5" x14ac:dyDescent="0.35"/>
  <cols>
    <col min="1" max="16384" width="8.7265625" style="7"/>
  </cols>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67DC0B-63EB-4C48-A053-E854385EAF66}">
  <dimension ref="A1"/>
  <sheetViews>
    <sheetView zoomScale="60" zoomScaleNormal="60" workbookViewId="0">
      <selection activeCell="X23" sqref="X23"/>
    </sheetView>
  </sheetViews>
  <sheetFormatPr defaultRowHeight="14.5" x14ac:dyDescent="0.35"/>
  <cols>
    <col min="1" max="16384" width="8.7265625" style="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A5FA7-5188-43FD-BFAF-263F2828A818}">
  <dimension ref="A1"/>
  <sheetViews>
    <sheetView zoomScale="60" zoomScaleNormal="60" workbookViewId="0">
      <selection activeCell="U26" sqref="U26"/>
    </sheetView>
  </sheetViews>
  <sheetFormatPr defaultRowHeight="14.5" x14ac:dyDescent="0.35"/>
  <cols>
    <col min="1" max="16384" width="8.7265625" style="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B0DE93-690A-4A2F-8DBC-36BAA06DEF88}">
  <dimension ref="A1"/>
  <sheetViews>
    <sheetView zoomScale="58" zoomScaleNormal="58" workbookViewId="0">
      <selection activeCell="V21" sqref="V21"/>
    </sheetView>
  </sheetViews>
  <sheetFormatPr defaultRowHeight="14.5" x14ac:dyDescent="0.35"/>
  <cols>
    <col min="1" max="16384" width="8.7265625" style="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Dataset</vt:lpstr>
      <vt:lpstr>Pivot Table</vt:lpstr>
      <vt:lpstr>Introduction</vt:lpstr>
      <vt:lpstr>Admission</vt:lpstr>
      <vt:lpstr>Age Analysis</vt:lpstr>
      <vt:lpstr>Surgical</vt:lpstr>
      <vt:lpstr>'Age Analysis'!Cleaned_Data</vt:lpstr>
      <vt:lpstr>Cleaned_Data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Salamah Alawiye</cp:lastModifiedBy>
  <dcterms:created xsi:type="dcterms:W3CDTF">2026-01-19T11:36:35Z</dcterms:created>
  <dcterms:modified xsi:type="dcterms:W3CDTF">2026-01-29T09:34:54Z</dcterms:modified>
</cp:coreProperties>
</file>